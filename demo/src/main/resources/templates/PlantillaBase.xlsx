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uesta actualizada" sheetId="1" state="visible" r:id="rId3"/>
    <sheet name="UX" sheetId="2" state="visible" r:id="rId4"/>
    <sheet name="Metodologias" sheetId="3" state="visible" r:id="rId5"/>
    <sheet name="UI" sheetId="4" state="visible" r:id="rId6"/>
    <sheet name="Desglo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<sst xmlns="http://schemas.openxmlformats.org/spreadsheetml/2006/main" count="252" uniqueCount="148">
  <si>
    <t xml:space="preserve">Fase</t>
  </si>
  <si>
    <t xml:space="preserve">Subfase</t>
  </si>
  <si>
    <t xml:space="preserve">Tarea Concreta</t>
  </si>
  <si>
    <t xml:space="preserve">COMERCIAL</t>
  </si>
  <si>
    <t xml:space="preserve">DIRECCION</t>
  </si>
  <si>
    <t xml:space="preserve">UN-SWLABG</t>
  </si>
  <si>
    <t xml:space="preserve">UN-UX</t>
  </si>
  <si>
    <t xml:space="preserve">TOTAL</t>
  </si>
  <si>
    <t xml:space="preserve">BACK</t>
  </si>
  <si>
    <t xml:space="preserve">FRONT</t>
  </si>
  <si>
    <t xml:space="preserve">SOPORTE</t>
  </si>
  <si>
    <t xml:space="preserve">MK</t>
  </si>
  <si>
    <t xml:space="preserve">UX</t>
  </si>
  <si>
    <t xml:space="preserve">UI</t>
  </si>
  <si>
    <t xml:space="preserve">WP-MAQ</t>
  </si>
  <si>
    <t xml:space="preserve">MIN</t>
  </si>
  <si>
    <t xml:space="preserve">MAX</t>
  </si>
  <si>
    <t xml:space="preserve">Análisis</t>
  </si>
  <si>
    <t xml:space="preserve">Analisis</t>
  </si>
  <si>
    <t xml:space="preserve">Preventa</t>
  </si>
  <si>
    <t xml:space="preserve">Análisis software</t>
  </si>
  <si>
    <t xml:space="preserve">Kickoff</t>
  </si>
  <si>
    <t xml:space="preserve">Analisis contexto inicial</t>
  </si>
  <si>
    <t xml:space="preserve">5W</t>
  </si>
  <si>
    <t xml:space="preserve">Auditoría y análisis de estado SEO</t>
  </si>
  <si>
    <t xml:space="preserve">Estudio de palabras clave</t>
  </si>
  <si>
    <t xml:space="preserve">Investigacion</t>
  </si>
  <si>
    <t xml:space="preserve">Infraestructura</t>
  </si>
  <si>
    <t xml:space="preserve">Desarrollo</t>
  </si>
  <si>
    <t xml:space="preserve">Discovery</t>
  </si>
  <si>
    <t xml:space="preserve">Benchamark</t>
  </si>
  <si>
    <t xml:space="preserve">Desk Research</t>
  </si>
  <si>
    <t xml:space="preserve">Entrevistas</t>
  </si>
  <si>
    <t xml:space="preserve">Cuestionarios</t>
  </si>
  <si>
    <t xml:space="preserve">Analisis de métricas</t>
  </si>
  <si>
    <t xml:space="preserve">Focus Group</t>
  </si>
  <si>
    <t xml:space="preserve">Recorrido cognitivo</t>
  </si>
  <si>
    <t xml:space="preserve">Evaluación heurística</t>
  </si>
  <si>
    <t xml:space="preserve">Observación</t>
  </si>
  <si>
    <t xml:space="preserve">Card sorting</t>
  </si>
  <si>
    <t xml:space="preserve">Registro y analisis de métricas</t>
  </si>
  <si>
    <t xml:space="preserve">Tree testing</t>
  </si>
  <si>
    <t xml:space="preserve">Evaluacion</t>
  </si>
  <si>
    <t xml:space="preserve">QA</t>
  </si>
  <si>
    <t xml:space="preserve">Test con usuarios</t>
  </si>
  <si>
    <t xml:space="preserve">Sintesis</t>
  </si>
  <si>
    <t xml:space="preserve">Conclusiones discovery</t>
  </si>
  <si>
    <t xml:space="preserve">Hallazgos e insights</t>
  </si>
  <si>
    <t xml:space="preserve">User persona</t>
  </si>
  <si>
    <t xml:space="preserve">Persona minimalista</t>
  </si>
  <si>
    <t xml:space="preserve">Escenario / Storyboard</t>
  </si>
  <si>
    <t xml:space="preserve">Happy / Unhappy path</t>
  </si>
  <si>
    <t xml:space="preserve">Lean UX</t>
  </si>
  <si>
    <t xml:space="preserve">Problem statement</t>
  </si>
  <si>
    <t xml:space="preserve">User journey</t>
  </si>
  <si>
    <t xml:space="preserve">Matriz de complejidad</t>
  </si>
  <si>
    <t xml:space="preserve">Mapa de empatía</t>
  </si>
  <si>
    <t xml:space="preserve">Requisitos y funcionalidades</t>
  </si>
  <si>
    <t xml:space="preserve">Frontend</t>
  </si>
  <si>
    <t xml:space="preserve">Funcionalidad 1</t>
  </si>
  <si>
    <t xml:space="preserve">Funcionalidad 2</t>
  </si>
  <si>
    <t xml:space="preserve">Funcionalidad 3</t>
  </si>
  <si>
    <t xml:space="preserve">Funcionalidad 4</t>
  </si>
  <si>
    <t xml:space="preserve">Funcionalidad 5</t>
  </si>
  <si>
    <t xml:space="preserve">Funcionalidad 6</t>
  </si>
  <si>
    <t xml:space="preserve">Funcionalidad 7</t>
  </si>
  <si>
    <t xml:space="preserve">Backend</t>
  </si>
  <si>
    <t xml:space="preserve">Maquetacion</t>
  </si>
  <si>
    <t xml:space="preserve">Ideacion</t>
  </si>
  <si>
    <t xml:space="preserve">Scamper o braindstorming</t>
  </si>
  <si>
    <t xml:space="preserve">Arquitectura</t>
  </si>
  <si>
    <t xml:space="preserve">Arquitectura y flujos</t>
  </si>
  <si>
    <t xml:space="preserve">Wireframes</t>
  </si>
  <si>
    <t xml:space="preserve">Pantalla 1</t>
  </si>
  <si>
    <t xml:space="preserve">Pantalla 2</t>
  </si>
  <si>
    <t xml:space="preserve">Pantalla 3</t>
  </si>
  <si>
    <t xml:space="preserve">Pantalla 4</t>
  </si>
  <si>
    <t xml:space="preserve">Pantalla 5</t>
  </si>
  <si>
    <t xml:space="preserve">Pantalla 6</t>
  </si>
  <si>
    <t xml:space="preserve">Pantalla 7</t>
  </si>
  <si>
    <t xml:space="preserve">HF</t>
  </si>
  <si>
    <t xml:space="preserve">Look&amp;feel</t>
  </si>
  <si>
    <t xml:space="preserve">Prototipado</t>
  </si>
  <si>
    <t xml:space="preserve">Adaptaciones</t>
  </si>
  <si>
    <t xml:space="preserve">Ui Kit</t>
  </si>
  <si>
    <t xml:space="preserve">Assets</t>
  </si>
  <si>
    <t xml:space="preserve">Contenidos</t>
  </si>
  <si>
    <t xml:space="preserve">Importaciones</t>
  </si>
  <si>
    <t xml:space="preserve">Ajustes</t>
  </si>
  <si>
    <t xml:space="preserve">Gestiones</t>
  </si>
  <si>
    <t xml:space="preserve">Despliegue</t>
  </si>
  <si>
    <t xml:space="preserve">Direccion</t>
  </si>
  <si>
    <t xml:space="preserve">Material</t>
  </si>
  <si>
    <t xml:space="preserve">Report de conclusiones</t>
  </si>
  <si>
    <t xml:space="preserve">Guía de estilos</t>
  </si>
  <si>
    <t xml:space="preserve">ReuCliente</t>
  </si>
  <si>
    <t xml:space="preserve">ReuInterna</t>
  </si>
  <si>
    <t xml:space="preserve">Terceros</t>
  </si>
  <si>
    <t xml:space="preserve">Benchmark</t>
  </si>
  <si>
    <t xml:space="preserve">Test usuarios</t>
  </si>
  <si>
    <t xml:space="preserve">Personas minimalista</t>
  </si>
  <si>
    <t xml:space="preserve">Escenarios/Storyboards</t>
  </si>
  <si>
    <t xml:space="preserve">Happy/Unhappy path</t>
  </si>
  <si>
    <t xml:space="preserve">Diagramas de flujo</t>
  </si>
  <si>
    <t xml:space="preserve">Metodología</t>
  </si>
  <si>
    <t xml:space="preserve">Mín.</t>
  </si>
  <si>
    <t xml:space="preserve">Máx.</t>
  </si>
  <si>
    <t xml:space="preserve">Mín. redondeo</t>
  </si>
  <si>
    <t xml:space="preserve">Máx. redondeo</t>
  </si>
  <si>
    <t xml:space="preserve">Encuestas</t>
  </si>
  <si>
    <t xml:space="preserve">Report de investigación</t>
  </si>
  <si>
    <t xml:space="preserve">Análisis de métricas</t>
  </si>
  <si>
    <t xml:space="preserve">Insights</t>
  </si>
  <si>
    <t xml:space="preserve">Escenarios / Storyboards</t>
  </si>
  <si>
    <t xml:space="preserve">User Journey</t>
  </si>
  <si>
    <t xml:space="preserve">Mapa empatia</t>
  </si>
  <si>
    <t xml:space="preserve">Tarea</t>
  </si>
  <si>
    <t xml:space="preserve">Min</t>
  </si>
  <si>
    <t xml:space="preserve">Max</t>
  </si>
  <si>
    <t xml:space="preserve">Analisis contexto</t>
  </si>
  <si>
    <t xml:space="preserve">Multiplicador Controlar</t>
  </si>
  <si>
    <t xml:space="preserve">Margen Global Error (%)</t>
  </si>
  <si>
    <t xml:space="preserve">Controlo del tema (S/N)</t>
  </si>
  <si>
    <t xml:space="preserve">S</t>
  </si>
  <si>
    <t xml:space="preserve">Tiempo Análisis (h)</t>
  </si>
  <si>
    <t xml:space="preserve">P1. Pantalla sencilla</t>
  </si>
  <si>
    <t xml:space="preserve">Wireframes P1 (h)</t>
  </si>
  <si>
    <t xml:space="preserve">P2. Pantalla standard</t>
  </si>
  <si>
    <t xml:space="preserve">Wireframes P2 (h)</t>
  </si>
  <si>
    <t xml:space="preserve">P3. Pantalla compleja</t>
  </si>
  <si>
    <t xml:space="preserve">Wireframe P3 (h)</t>
  </si>
  <si>
    <t xml:space="preserve">P4. Pantalla compleja+</t>
  </si>
  <si>
    <t xml:space="preserve">Wireframe P4 (h)</t>
  </si>
  <si>
    <t xml:space="preserve">Adaptar 1 resolución (S/N)</t>
  </si>
  <si>
    <t xml:space="preserve">HF P1 (h)</t>
  </si>
  <si>
    <t xml:space="preserve">Adaptar 2 resoluciones (S/N)</t>
  </si>
  <si>
    <t xml:space="preserve">N</t>
  </si>
  <si>
    <t xml:space="preserve">HF P2 (h)</t>
  </si>
  <si>
    <t xml:space="preserve">HF P3 (h)</t>
  </si>
  <si>
    <t xml:space="preserve">HF P4 (h)</t>
  </si>
  <si>
    <t xml:space="preserve">Adaptacion 1 resolucion (%)</t>
  </si>
  <si>
    <t xml:space="preserve">Adaptacion 2 resoluciones (%)</t>
  </si>
  <si>
    <t xml:space="preserve">Tiempo mínimo</t>
  </si>
  <si>
    <t xml:space="preserve">Tiempo máximo</t>
  </si>
  <si>
    <t xml:space="preserve">Tiempo mín. redondeo</t>
  </si>
  <si>
    <t xml:space="preserve">Tiempo max. redondeo</t>
  </si>
  <si>
    <t xml:space="preserve">Descripción</t>
  </si>
  <si>
    <t xml:space="preserve">Tipo pantalla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</si>
</sst>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\ %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1"/>
      <color rgb="FF999999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666666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FFE5F4"/>
        <bgColor rgb="FFEFEFEF"/>
      </patternFill>
    </fill>
    <fill>
      <patternFill patternType="solid">
        <fgColor rgb="FF6D9EEB"/>
        <bgColor rgb="FF999999"/>
      </patternFill>
    </fill>
    <fill>
      <patternFill patternType="solid">
        <fgColor rgb="FFA4C2F4"/>
        <bgColor rgb="FFB7B7B7"/>
      </patternFill>
    </fill>
    <fill>
      <patternFill patternType="solid">
        <fgColor rgb="FFB45B8D"/>
        <bgColor rgb="FFA64D79"/>
      </patternFill>
    </fill>
    <fill>
      <patternFill patternType="solid">
        <fgColor rgb="FFFFFFFF"/>
        <bgColor rgb="FFEFEFEF"/>
      </patternFill>
    </fill>
    <fill>
      <patternFill patternType="solid">
        <fgColor rgb="FFCCCCCC"/>
        <bgColor rgb="FFD9D9D9"/>
      </patternFill>
    </fill>
    <fill>
      <patternFill patternType="solid">
        <fgColor rgb="FFE5EDFC"/>
        <bgColor rgb="FFEFEFEF"/>
      </patternFill>
    </fill>
    <fill>
      <patternFill patternType="solid">
        <fgColor rgb="FF000000"/>
        <bgColor rgb="FF003300"/>
      </patternFill>
    </fill>
    <fill>
      <patternFill patternType="solid">
        <fgColor rgb="FFD5A6BD"/>
        <bgColor rgb="FFB7B7B7"/>
      </patternFill>
    </fill>
    <fill>
      <patternFill patternType="solid">
        <fgColor rgb="FFA64D79"/>
        <bgColor rgb="FFB45B8D"/>
      </patternFill>
    </fill>
    <fill>
      <patternFill patternType="solid">
        <fgColor rgb="FFEAD1DC"/>
        <bgColor rgb="FFD9D9D9"/>
      </patternFill>
    </fill>
    <fill>
      <patternFill patternType="solid">
        <fgColor rgb="FFB7B7B7"/>
        <bgColor rgb="FFCCCCCC"/>
      </patternFill>
    </fill>
    <fill>
      <patternFill patternType="solid">
        <fgColor rgb="FFDA1984"/>
        <bgColor rgb="FFA64D79"/>
      </patternFill>
    </fill>
    <fill>
      <patternFill patternType="solid">
        <fgColor rgb="FFD9D9D9"/>
        <bgColor rgb="FFEAD1DC"/>
      </patternFill>
    </fill>
    <fill>
      <patternFill patternType="solid">
        <fgColor rgb="FF6AA84F"/>
        <bgColor rgb="FF808080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4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8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7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7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2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7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6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8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8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8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3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3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2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2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1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8" fillId="1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8" fillId="15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8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5" fillId="1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0" fillId="14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CCCCC"/>
        </patternFill>
      </fill>
    </dxf>
    <dxf>
      <font>
        <color rgb="FFCCCCCC"/>
      </font>
      <fill>
        <patternFill>
          <bgColor rgb="FFEFEFE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DA1984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6D9EEB"/>
      <rgbColor rgb="FFA64D79"/>
      <rgbColor rgb="FFEFEFEF"/>
      <rgbColor rgb="FFE5EDFC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5F4"/>
      <rgbColor rgb="FFD9D9D9"/>
      <rgbColor rgb="FFFFFF99"/>
      <rgbColor rgb="FFA4C2F4"/>
      <rgbColor rgb="FFFF99CC"/>
      <rgbColor rgb="FFD5A6BD"/>
      <rgbColor rgb="FFEAD1DC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6AA84F"/>
      <rgbColor rgb="FF003300"/>
      <rgbColor rgb="FF333300"/>
      <rgbColor rgb="FF993300"/>
      <rgbColor rgb="FFB45B8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4" topLeftCell="A56" activePane="bottomLeft" state="frozen"/>
      <selection pane="topLeft" activeCell="A1" activeCellId="0" sqref="A1"/>
      <selection pane="bottomLeft" activeCell="C85" activeCellId="0" sqref="C85"/>
    </sheetView>
  </sheetViews>
  <sheetFormatPr defaultColWidth="12.6328125" defaultRowHeight="12.8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.51"/>
    <col collapsed="false" customWidth="true" hidden="false" outlineLevel="0" max="3" min="3" style="1" width="33.52"/>
    <col collapsed="false" customWidth="true" hidden="false" outlineLevel="0" max="6" min="4" style="1" width="9"/>
    <col collapsed="false" customWidth="true" hidden="false" outlineLevel="0" max="7" min="7" style="1" width="8.13"/>
    <col collapsed="false" customWidth="true" hidden="false" outlineLevel="0" max="23" min="8" style="1" width="7.11"/>
  </cols>
  <sheetData>
    <row r="1" customFormat="false" ht="22.5" hidden="false" customHeight="tru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4"/>
      <c r="F1" s="5" t="s">
        <v>4</v>
      </c>
      <c r="G1" s="5"/>
      <c r="H1" s="6" t="s">
        <v>5</v>
      </c>
      <c r="I1" s="6"/>
      <c r="J1" s="6"/>
      <c r="K1" s="6"/>
      <c r="L1" s="6"/>
      <c r="M1" s="6"/>
      <c r="N1" s="6"/>
      <c r="O1" s="6"/>
      <c r="P1" s="6" t="s">
        <v>6</v>
      </c>
      <c r="Q1" s="6"/>
      <c r="R1" s="6"/>
      <c r="S1" s="6"/>
      <c r="T1" s="6"/>
      <c r="U1" s="6"/>
      <c r="V1" s="7" t="s">
        <v>7</v>
      </c>
      <c r="W1" s="7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22.5" hidden="false" customHeight="true" outlineLevel="0" collapsed="false">
      <c r="A2" s="2"/>
      <c r="B2" s="2"/>
      <c r="C2" s="3"/>
      <c r="D2" s="4"/>
      <c r="E2" s="4"/>
      <c r="F2" s="5"/>
      <c r="G2" s="5"/>
      <c r="H2" s="9" t="s">
        <v>8</v>
      </c>
      <c r="I2" s="9"/>
      <c r="J2" s="9" t="s">
        <v>9</v>
      </c>
      <c r="K2" s="9"/>
      <c r="L2" s="9" t="s">
        <v>10</v>
      </c>
      <c r="M2" s="9"/>
      <c r="N2" s="9" t="s">
        <v>11</v>
      </c>
      <c r="O2" s="9"/>
      <c r="P2" s="9" t="s">
        <v>12</v>
      </c>
      <c r="Q2" s="9"/>
      <c r="R2" s="6" t="s">
        <v>13</v>
      </c>
      <c r="S2" s="6"/>
      <c r="T2" s="9" t="s">
        <v>14</v>
      </c>
      <c r="U2" s="9"/>
      <c r="V2" s="7"/>
      <c r="W2" s="7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customFormat="false" ht="14.15" hidden="false" customHeight="false" outlineLevel="0" collapsed="false">
      <c r="A3" s="2"/>
      <c r="B3" s="2"/>
      <c r="C3" s="3"/>
      <c r="D3" s="10" t="n">
        <f aca="false">SUM(D5:D85)</f>
        <v>0</v>
      </c>
      <c r="E3" s="11" t="n">
        <f aca="false">SUM(E5:E85)</f>
        <v>0</v>
      </c>
      <c r="F3" s="12" t="n">
        <f aca="false">SUM(F5:F85)</f>
        <v>0</v>
      </c>
      <c r="G3" s="13" t="n">
        <f aca="false">SUM(G5:G85)</f>
        <v>0</v>
      </c>
      <c r="H3" s="10" t="n">
        <f aca="false">SUM(H5:H85)</f>
        <v>0</v>
      </c>
      <c r="I3" s="13" t="n">
        <f aca="false">SUM(I5:I85)</f>
        <v>0</v>
      </c>
      <c r="J3" s="10" t="n">
        <f aca="false">SUM(J5:J85)</f>
        <v>0</v>
      </c>
      <c r="K3" s="13" t="n">
        <f aca="false">SUM(K5:K85)</f>
        <v>0</v>
      </c>
      <c r="L3" s="10" t="n">
        <f aca="false">SUM(L5:L85)</f>
        <v>0</v>
      </c>
      <c r="M3" s="13" t="n">
        <f aca="false">SUM(M5:M85)</f>
        <v>0</v>
      </c>
      <c r="N3" s="10" t="n">
        <f aca="false">SUM(N5:N85)</f>
        <v>0</v>
      </c>
      <c r="O3" s="14" t="n">
        <f aca="false">SUM(O5:O85)</f>
        <v>0</v>
      </c>
      <c r="P3" s="10" t="n">
        <f aca="false">SUM(P5:P85)</f>
        <v>0</v>
      </c>
      <c r="Q3" s="12" t="n">
        <f aca="false">SUM(Q5:Q85)</f>
        <v>0</v>
      </c>
      <c r="R3" s="10" t="n">
        <f aca="false">SUM(R5:R85)</f>
        <v>0</v>
      </c>
      <c r="S3" s="15" t="n">
        <f aca="false">SUM(S5:S85)</f>
        <v>0</v>
      </c>
      <c r="T3" s="10" t="n">
        <f aca="false">SUM(T5:T85)</f>
        <v>0</v>
      </c>
      <c r="U3" s="15" t="n">
        <f aca="false">SUM(U5:U85)</f>
        <v>0</v>
      </c>
      <c r="V3" s="16" t="n">
        <f aca="false">SUM(V5:V85)</f>
        <v>0</v>
      </c>
      <c r="W3" s="17" t="n">
        <f aca="false">SUM(W5:W85)</f>
        <v>0</v>
      </c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</row>
    <row r="4" customFormat="false" ht="13.8" hidden="false" customHeight="false" outlineLevel="0" collapsed="false">
      <c r="A4" s="2"/>
      <c r="B4" s="2"/>
      <c r="C4" s="3"/>
      <c r="D4" s="19" t="s">
        <v>15</v>
      </c>
      <c r="E4" s="20" t="s">
        <v>16</v>
      </c>
      <c r="F4" s="21" t="s">
        <v>15</v>
      </c>
      <c r="G4" s="22" t="s">
        <v>16</v>
      </c>
      <c r="H4" s="19" t="s">
        <v>15</v>
      </c>
      <c r="I4" s="22" t="s">
        <v>16</v>
      </c>
      <c r="J4" s="19" t="s">
        <v>15</v>
      </c>
      <c r="K4" s="22" t="s">
        <v>16</v>
      </c>
      <c r="L4" s="19" t="s">
        <v>15</v>
      </c>
      <c r="M4" s="22" t="s">
        <v>16</v>
      </c>
      <c r="N4" s="19" t="s">
        <v>15</v>
      </c>
      <c r="O4" s="23" t="s">
        <v>16</v>
      </c>
      <c r="P4" s="19" t="s">
        <v>15</v>
      </c>
      <c r="Q4" s="22" t="s">
        <v>16</v>
      </c>
      <c r="R4" s="19" t="s">
        <v>15</v>
      </c>
      <c r="S4" s="24" t="s">
        <v>16</v>
      </c>
      <c r="T4" s="19" t="s">
        <v>15</v>
      </c>
      <c r="U4" s="24" t="s">
        <v>16</v>
      </c>
      <c r="V4" s="25" t="s">
        <v>15</v>
      </c>
      <c r="W4" s="26" t="s">
        <v>16</v>
      </c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</row>
    <row r="5" customFormat="false" ht="16.5" hidden="false" customHeight="true" outlineLevel="0" collapsed="false">
      <c r="A5" s="27" t="s">
        <v>17</v>
      </c>
      <c r="B5" s="28" t="s">
        <v>18</v>
      </c>
      <c r="C5" s="29" t="s">
        <v>19</v>
      </c>
      <c r="D5" s="30" t="n">
        <v>0</v>
      </c>
      <c r="E5" s="31" t="n">
        <v>0</v>
      </c>
      <c r="F5" s="30"/>
      <c r="G5" s="32"/>
      <c r="H5" s="30"/>
      <c r="I5" s="32"/>
      <c r="J5" s="30"/>
      <c r="K5" s="32"/>
      <c r="L5" s="33"/>
      <c r="M5" s="34"/>
      <c r="N5" s="33"/>
      <c r="O5" s="34"/>
      <c r="P5" s="35"/>
      <c r="Q5" s="36"/>
      <c r="R5" s="37"/>
      <c r="S5" s="38"/>
      <c r="T5" s="39"/>
      <c r="U5" s="40"/>
      <c r="V5" s="41" t="n">
        <f aca="false">SUM(D5,F5,H5,J5,L5,N5,P5,R5,T5)</f>
        <v>0</v>
      </c>
      <c r="W5" s="42" t="n">
        <f aca="false">SUM(E5,G5,I5,K5,M5,O5,Q5,S5,U5)</f>
        <v>0</v>
      </c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customFormat="false" ht="16.5" hidden="false" customHeight="true" outlineLevel="0" collapsed="false">
      <c r="A6" s="27"/>
      <c r="B6" s="27"/>
      <c r="C6" s="29" t="s">
        <v>20</v>
      </c>
      <c r="D6" s="30"/>
      <c r="E6" s="31"/>
      <c r="F6" s="30" t="n">
        <v>0</v>
      </c>
      <c r="G6" s="32" t="n">
        <v>0</v>
      </c>
      <c r="H6" s="30" t="n">
        <v>0</v>
      </c>
      <c r="I6" s="32" t="n">
        <v>0</v>
      </c>
      <c r="J6" s="30" t="n">
        <v>0</v>
      </c>
      <c r="K6" s="32" t="n">
        <v>0</v>
      </c>
      <c r="L6" s="33"/>
      <c r="M6" s="34"/>
      <c r="N6" s="33"/>
      <c r="O6" s="34"/>
      <c r="P6" s="35"/>
      <c r="Q6" s="36"/>
      <c r="R6" s="37"/>
      <c r="S6" s="38"/>
      <c r="T6" s="30" t="n">
        <v>0</v>
      </c>
      <c r="U6" s="32" t="n">
        <v>0</v>
      </c>
      <c r="V6" s="41" t="n">
        <f aca="false">SUM(D6,F6,H6,J6,L6,N6,P6,R6,T6)</f>
        <v>0</v>
      </c>
      <c r="W6" s="42" t="n">
        <f aca="false">SUM(E6,G6,I6,K6,M6,O6,Q6,S6,U6)</f>
        <v>0</v>
      </c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</row>
    <row r="7" customFormat="false" ht="16.5" hidden="false" customHeight="true" outlineLevel="0" collapsed="false">
      <c r="A7" s="27"/>
      <c r="B7" s="27"/>
      <c r="C7" s="29" t="s">
        <v>21</v>
      </c>
      <c r="D7" s="35"/>
      <c r="E7" s="43"/>
      <c r="F7" s="35"/>
      <c r="G7" s="36"/>
      <c r="H7" s="35"/>
      <c r="I7" s="36"/>
      <c r="J7" s="35"/>
      <c r="K7" s="36"/>
      <c r="L7" s="35"/>
      <c r="M7" s="43"/>
      <c r="N7" s="35"/>
      <c r="O7" s="43"/>
      <c r="P7" s="30" t="n">
        <v>0</v>
      </c>
      <c r="Q7" s="32" t="n">
        <v>0</v>
      </c>
      <c r="R7" s="44"/>
      <c r="S7" s="38"/>
      <c r="T7" s="39"/>
      <c r="U7" s="40"/>
      <c r="V7" s="41" t="n">
        <f aca="false">SUM(D7,F7,H7,J7,L7,N7,P7,R7,T7)</f>
        <v>0</v>
      </c>
      <c r="W7" s="42" t="n">
        <f aca="false">SUM(E7,G7,I7,K7,M7,O7,Q7,S7,U7)</f>
        <v>0</v>
      </c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</row>
    <row r="8" customFormat="false" ht="16.5" hidden="false" customHeight="true" outlineLevel="0" collapsed="false">
      <c r="A8" s="27"/>
      <c r="B8" s="27"/>
      <c r="C8" s="29" t="s">
        <v>22</v>
      </c>
      <c r="D8" s="35"/>
      <c r="E8" s="43"/>
      <c r="F8" s="35"/>
      <c r="G8" s="36"/>
      <c r="H8" s="35"/>
      <c r="I8" s="36"/>
      <c r="J8" s="35"/>
      <c r="K8" s="36"/>
      <c r="L8" s="35"/>
      <c r="M8" s="43"/>
      <c r="N8" s="35"/>
      <c r="O8" s="43"/>
      <c r="P8" s="30" t="n">
        <v>0</v>
      </c>
      <c r="Q8" s="32" t="n">
        <v>0</v>
      </c>
      <c r="R8" s="30" t="n">
        <v>0</v>
      </c>
      <c r="S8" s="45" t="n">
        <v>0</v>
      </c>
      <c r="T8" s="30" t="n">
        <v>0</v>
      </c>
      <c r="U8" s="32" t="n">
        <v>0</v>
      </c>
      <c r="V8" s="41" t="n">
        <f aca="false">SUM(D8,F8,H8,J8,L8,N8,P8,R8,T8)</f>
        <v>0</v>
      </c>
      <c r="W8" s="42" t="n">
        <f aca="false">SUM(E8,G8,I8,K8,M8,O8,Q8,S8,U8)</f>
        <v>0</v>
      </c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</row>
    <row r="9" customFormat="false" ht="16.5" hidden="false" customHeight="true" outlineLevel="0" collapsed="false">
      <c r="A9" s="27"/>
      <c r="B9" s="27"/>
      <c r="C9" s="29" t="s">
        <v>23</v>
      </c>
      <c r="D9" s="35"/>
      <c r="E9" s="43"/>
      <c r="F9" s="35"/>
      <c r="G9" s="36"/>
      <c r="H9" s="35"/>
      <c r="I9" s="36"/>
      <c r="J9" s="35"/>
      <c r="K9" s="36"/>
      <c r="L9" s="35"/>
      <c r="M9" s="43"/>
      <c r="N9" s="35"/>
      <c r="O9" s="43"/>
      <c r="P9" s="30" t="n">
        <v>0</v>
      </c>
      <c r="Q9" s="32" t="n">
        <v>0</v>
      </c>
      <c r="R9" s="46"/>
      <c r="S9" s="38"/>
      <c r="T9" s="39"/>
      <c r="U9" s="40"/>
      <c r="V9" s="41" t="n">
        <f aca="false">SUM(D9,F9,H9,J9,L9,N9,P9,R9,T9)</f>
        <v>0</v>
      </c>
      <c r="W9" s="42" t="n">
        <f aca="false">SUM(E9,G9,I9,K9,M9,O9,Q9,S9,U9)</f>
        <v>0</v>
      </c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</row>
    <row r="10" customFormat="false" ht="16.5" hidden="false" customHeight="true" outlineLevel="0" collapsed="false">
      <c r="A10" s="27"/>
      <c r="B10" s="27"/>
      <c r="C10" s="29" t="s">
        <v>24</v>
      </c>
      <c r="D10" s="35"/>
      <c r="E10" s="43"/>
      <c r="F10" s="35"/>
      <c r="G10" s="36"/>
      <c r="H10" s="35"/>
      <c r="I10" s="36"/>
      <c r="J10" s="35"/>
      <c r="K10" s="36"/>
      <c r="L10" s="35"/>
      <c r="M10" s="43"/>
      <c r="N10" s="30" t="n">
        <v>0</v>
      </c>
      <c r="O10" s="32" t="n">
        <v>0</v>
      </c>
      <c r="P10" s="30"/>
      <c r="Q10" s="32"/>
      <c r="R10" s="37"/>
      <c r="S10" s="38"/>
      <c r="T10" s="39"/>
      <c r="U10" s="40"/>
      <c r="V10" s="41" t="n">
        <f aca="false">SUM(D10,F10,H10,J10,L10,N10,P10,R10,T10)</f>
        <v>0</v>
      </c>
      <c r="W10" s="42" t="n">
        <f aca="false">SUM(E10,G10,I10,K10,M10,O10,Q10,S10,U10)</f>
        <v>0</v>
      </c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</row>
    <row r="11" customFormat="false" ht="16.5" hidden="false" customHeight="true" outlineLevel="0" collapsed="false">
      <c r="A11" s="27"/>
      <c r="B11" s="28"/>
      <c r="C11" s="29" t="s">
        <v>25</v>
      </c>
      <c r="D11" s="35"/>
      <c r="E11" s="43"/>
      <c r="F11" s="35"/>
      <c r="G11" s="36"/>
      <c r="H11" s="35"/>
      <c r="I11" s="36"/>
      <c r="J11" s="35"/>
      <c r="K11" s="36"/>
      <c r="L11" s="35"/>
      <c r="M11" s="43"/>
      <c r="N11" s="30" t="n">
        <v>0</v>
      </c>
      <c r="O11" s="32" t="n">
        <v>0</v>
      </c>
      <c r="P11" s="30"/>
      <c r="Q11" s="32"/>
      <c r="R11" s="37"/>
      <c r="S11" s="38"/>
      <c r="T11" s="39"/>
      <c r="U11" s="40"/>
      <c r="V11" s="41" t="n">
        <f aca="false">SUM(D11,F11,H11,J11,L11,N11,P11,R11,T11)</f>
        <v>0</v>
      </c>
      <c r="W11" s="42" t="n">
        <f aca="false">SUM(E11,G11,I11,K11,M11,O11,Q11,S11,U11)</f>
        <v>0</v>
      </c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</row>
    <row r="12" customFormat="false" ht="16.5" hidden="false" customHeight="true" outlineLevel="0" collapsed="false">
      <c r="A12" s="27"/>
      <c r="B12" s="28" t="s">
        <v>26</v>
      </c>
      <c r="C12" s="47"/>
      <c r="D12" s="35"/>
      <c r="E12" s="43"/>
      <c r="F12" s="35"/>
      <c r="G12" s="36"/>
      <c r="H12" s="30" t="n">
        <v>0</v>
      </c>
      <c r="I12" s="32" t="n">
        <v>0</v>
      </c>
      <c r="J12" s="30" t="n">
        <v>0</v>
      </c>
      <c r="K12" s="32" t="n">
        <v>0</v>
      </c>
      <c r="L12" s="30"/>
      <c r="M12" s="31"/>
      <c r="N12" s="30"/>
      <c r="O12" s="31"/>
      <c r="P12" s="37"/>
      <c r="Q12" s="40"/>
      <c r="R12" s="48"/>
      <c r="S12" s="49"/>
      <c r="T12" s="30" t="n">
        <v>0</v>
      </c>
      <c r="U12" s="32" t="n">
        <v>0</v>
      </c>
      <c r="V12" s="41" t="n">
        <f aca="false">SUM(D12,F12,H12,J12,L12,N12,P12,R12,T12)</f>
        <v>0</v>
      </c>
      <c r="W12" s="42" t="n">
        <f aca="false">SUM(E12,G12,I12,K12,M12,O12,Q12,S12,U12)</f>
        <v>0</v>
      </c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</row>
    <row r="13" customFormat="false" ht="16.5" hidden="false" customHeight="true" outlineLevel="0" collapsed="false">
      <c r="A13" s="27"/>
      <c r="B13" s="28" t="s">
        <v>27</v>
      </c>
      <c r="C13" s="47"/>
      <c r="D13" s="48"/>
      <c r="E13" s="50"/>
      <c r="F13" s="48"/>
      <c r="G13" s="51"/>
      <c r="H13" s="30" t="n">
        <v>0</v>
      </c>
      <c r="I13" s="32" t="n">
        <v>0</v>
      </c>
      <c r="J13" s="30" t="n">
        <v>0</v>
      </c>
      <c r="K13" s="32" t="n">
        <v>0</v>
      </c>
      <c r="L13" s="30"/>
      <c r="M13" s="31"/>
      <c r="N13" s="30"/>
      <c r="O13" s="31"/>
      <c r="P13" s="37"/>
      <c r="Q13" s="40"/>
      <c r="R13" s="48"/>
      <c r="S13" s="49"/>
      <c r="T13" s="30" t="n">
        <v>0</v>
      </c>
      <c r="U13" s="32" t="n">
        <v>0</v>
      </c>
      <c r="V13" s="41" t="n">
        <f aca="false">SUM(D13,F13,H13,J13,L13,N13,P13,R13,T13)</f>
        <v>0</v>
      </c>
      <c r="W13" s="42" t="n">
        <f aca="false">SUM(E13,G13,I13,K13,M13,O13,Q13,S13,U13)</f>
        <v>0</v>
      </c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</row>
    <row r="14" customFormat="false" ht="16.5" hidden="false" customHeight="true" outlineLevel="0" collapsed="false">
      <c r="A14" s="52" t="s">
        <v>28</v>
      </c>
      <c r="B14" s="28" t="s">
        <v>29</v>
      </c>
      <c r="C14" s="29" t="s">
        <v>30</v>
      </c>
      <c r="D14" s="46"/>
      <c r="E14" s="53"/>
      <c r="F14" s="46"/>
      <c r="G14" s="54"/>
      <c r="H14" s="35"/>
      <c r="I14" s="36"/>
      <c r="J14" s="35"/>
      <c r="K14" s="36"/>
      <c r="L14" s="35"/>
      <c r="M14" s="43"/>
      <c r="N14" s="30" t="n">
        <v>0</v>
      </c>
      <c r="O14" s="32" t="n">
        <v>0</v>
      </c>
      <c r="P14" s="30" t="n">
        <v>0</v>
      </c>
      <c r="Q14" s="45" t="n">
        <v>0</v>
      </c>
      <c r="R14" s="35"/>
      <c r="S14" s="55"/>
      <c r="T14" s="43"/>
      <c r="U14" s="36"/>
      <c r="V14" s="41" t="n">
        <f aca="false">SUM(D14,F14,H14,J14,L14,N14,P14,R14,T14)</f>
        <v>0</v>
      </c>
      <c r="W14" s="42" t="n">
        <f aca="false">SUM(E14,G14,I14,K14,M14,O14,Q14,S14,U14)</f>
        <v>0</v>
      </c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</row>
    <row r="15" customFormat="false" ht="16.5" hidden="false" customHeight="true" outlineLevel="0" collapsed="false">
      <c r="A15" s="52"/>
      <c r="B15" s="52"/>
      <c r="C15" s="29" t="s">
        <v>31</v>
      </c>
      <c r="D15" s="46"/>
      <c r="E15" s="53"/>
      <c r="F15" s="46"/>
      <c r="G15" s="54"/>
      <c r="H15" s="35"/>
      <c r="I15" s="36"/>
      <c r="J15" s="35"/>
      <c r="K15" s="36"/>
      <c r="L15" s="35"/>
      <c r="M15" s="43"/>
      <c r="N15" s="35"/>
      <c r="O15" s="43"/>
      <c r="P15" s="30" t="n">
        <v>0</v>
      </c>
      <c r="Q15" s="32" t="n">
        <v>0</v>
      </c>
      <c r="R15" s="35"/>
      <c r="S15" s="55"/>
      <c r="T15" s="43"/>
      <c r="U15" s="36"/>
      <c r="V15" s="41" t="n">
        <f aca="false">SUM(D15,F15,H15,J15,L15,N15,P15,R15,T15)</f>
        <v>0</v>
      </c>
      <c r="W15" s="42" t="n">
        <f aca="false">SUM(E15,G15,I15,K15,M15,O15,Q15,S15,U15)</f>
        <v>0</v>
      </c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</row>
    <row r="16" customFormat="false" ht="16.5" hidden="false" customHeight="true" outlineLevel="0" collapsed="false">
      <c r="A16" s="52"/>
      <c r="B16" s="52"/>
      <c r="C16" s="29" t="s">
        <v>32</v>
      </c>
      <c r="D16" s="46"/>
      <c r="E16" s="53"/>
      <c r="F16" s="46"/>
      <c r="G16" s="54"/>
      <c r="H16" s="35"/>
      <c r="I16" s="36"/>
      <c r="J16" s="35"/>
      <c r="K16" s="36"/>
      <c r="L16" s="35"/>
      <c r="M16" s="43"/>
      <c r="N16" s="35"/>
      <c r="O16" s="43"/>
      <c r="P16" s="30" t="n">
        <v>0</v>
      </c>
      <c r="Q16" s="45" t="n">
        <v>0</v>
      </c>
      <c r="R16" s="35"/>
      <c r="S16" s="55"/>
      <c r="T16" s="43"/>
      <c r="U16" s="36"/>
      <c r="V16" s="41" t="n">
        <f aca="false">SUM(D16,F16,H16,J16,L16,N16,P16,R16,T16)</f>
        <v>0</v>
      </c>
      <c r="W16" s="42" t="n">
        <f aca="false">SUM(E16,G16,I16,K16,M16,O16,Q16,S16,U16)</f>
        <v>0</v>
      </c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</row>
    <row r="17" customFormat="false" ht="16.5" hidden="false" customHeight="true" outlineLevel="0" collapsed="false">
      <c r="A17" s="52"/>
      <c r="B17" s="52"/>
      <c r="C17" s="29" t="s">
        <v>33</v>
      </c>
      <c r="D17" s="46"/>
      <c r="E17" s="53"/>
      <c r="F17" s="46"/>
      <c r="G17" s="54"/>
      <c r="H17" s="35"/>
      <c r="I17" s="36"/>
      <c r="J17" s="35"/>
      <c r="K17" s="36"/>
      <c r="L17" s="35"/>
      <c r="M17" s="43"/>
      <c r="N17" s="35"/>
      <c r="O17" s="43"/>
      <c r="P17" s="30" t="n">
        <v>0</v>
      </c>
      <c r="Q17" s="32" t="n">
        <v>0</v>
      </c>
      <c r="R17" s="35"/>
      <c r="S17" s="55"/>
      <c r="T17" s="43"/>
      <c r="U17" s="36"/>
      <c r="V17" s="41" t="n">
        <f aca="false">SUM(D17,F17,H17,J17,L17,N17,P17,R17,T17)</f>
        <v>0</v>
      </c>
      <c r="W17" s="42" t="n">
        <f aca="false">SUM(E17,G17,I17,K17,M17,O17,Q17,S17,U17)</f>
        <v>0</v>
      </c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</row>
    <row r="18" customFormat="false" ht="16.5" hidden="false" customHeight="true" outlineLevel="0" collapsed="false">
      <c r="A18" s="52"/>
      <c r="B18" s="52"/>
      <c r="C18" s="29" t="s">
        <v>34</v>
      </c>
      <c r="D18" s="46"/>
      <c r="E18" s="53"/>
      <c r="F18" s="46"/>
      <c r="G18" s="54"/>
      <c r="H18" s="35"/>
      <c r="I18" s="36"/>
      <c r="J18" s="35"/>
      <c r="K18" s="36"/>
      <c r="L18" s="35"/>
      <c r="M18" s="43"/>
      <c r="N18" s="35"/>
      <c r="O18" s="43"/>
      <c r="P18" s="30" t="n">
        <v>0</v>
      </c>
      <c r="Q18" s="32" t="n">
        <v>0</v>
      </c>
      <c r="R18" s="35"/>
      <c r="S18" s="55"/>
      <c r="T18" s="43"/>
      <c r="U18" s="36"/>
      <c r="V18" s="41" t="n">
        <f aca="false">SUM(D18,F18,H18,J18,L18,N18,P18,R18,T18)</f>
        <v>0</v>
      </c>
      <c r="W18" s="42" t="n">
        <f aca="false">SUM(E18,G18,I18,K18,M18,O18,Q18,S18,U18)</f>
        <v>0</v>
      </c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</row>
    <row r="19" customFormat="false" ht="16.5" hidden="false" customHeight="true" outlineLevel="0" collapsed="false">
      <c r="A19" s="52"/>
      <c r="B19" s="52"/>
      <c r="C19" s="29" t="s">
        <v>35</v>
      </c>
      <c r="D19" s="46"/>
      <c r="E19" s="53"/>
      <c r="F19" s="46"/>
      <c r="G19" s="54"/>
      <c r="H19" s="35"/>
      <c r="I19" s="36"/>
      <c r="J19" s="35"/>
      <c r="K19" s="36"/>
      <c r="L19" s="35"/>
      <c r="M19" s="43"/>
      <c r="N19" s="35"/>
      <c r="O19" s="43"/>
      <c r="P19" s="30" t="n">
        <v>0</v>
      </c>
      <c r="Q19" s="32" t="n">
        <v>0</v>
      </c>
      <c r="R19" s="35"/>
      <c r="S19" s="55"/>
      <c r="T19" s="43"/>
      <c r="U19" s="36"/>
      <c r="V19" s="41" t="n">
        <f aca="false">SUM(D19,F19,H19,J19,L19,N19,P19,R19,T19)</f>
        <v>0</v>
      </c>
      <c r="W19" s="42" t="n">
        <f aca="false">SUM(E19,G19,I19,K19,M19,O19,Q19,S19,U19)</f>
        <v>0</v>
      </c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</row>
    <row r="20" customFormat="false" ht="16.5" hidden="false" customHeight="true" outlineLevel="0" collapsed="false">
      <c r="A20" s="52"/>
      <c r="B20" s="52"/>
      <c r="C20" s="56" t="s">
        <v>36</v>
      </c>
      <c r="D20" s="46"/>
      <c r="E20" s="53"/>
      <c r="F20" s="46"/>
      <c r="G20" s="54"/>
      <c r="H20" s="35"/>
      <c r="I20" s="36"/>
      <c r="J20" s="35"/>
      <c r="K20" s="36"/>
      <c r="L20" s="35"/>
      <c r="M20" s="43"/>
      <c r="N20" s="35"/>
      <c r="O20" s="43"/>
      <c r="P20" s="30" t="n">
        <v>0</v>
      </c>
      <c r="Q20" s="45" t="n">
        <v>0</v>
      </c>
      <c r="R20" s="35"/>
      <c r="S20" s="55"/>
      <c r="T20" s="43"/>
      <c r="U20" s="36"/>
      <c r="V20" s="41" t="n">
        <f aca="false">SUM(D20,F20,H20,J20,L20,N20,P20,R20,T20)</f>
        <v>0</v>
      </c>
      <c r="W20" s="42" t="n">
        <f aca="false">SUM(E20,G20,I20,K20,M20,O20,Q20,S20,U20)</f>
        <v>0</v>
      </c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</row>
    <row r="21" customFormat="false" ht="16.5" hidden="false" customHeight="true" outlineLevel="0" collapsed="false">
      <c r="A21" s="52"/>
      <c r="B21" s="52"/>
      <c r="C21" s="56" t="s">
        <v>37</v>
      </c>
      <c r="D21" s="46"/>
      <c r="E21" s="53"/>
      <c r="F21" s="46"/>
      <c r="G21" s="54"/>
      <c r="H21" s="35"/>
      <c r="I21" s="36"/>
      <c r="J21" s="35"/>
      <c r="K21" s="36"/>
      <c r="L21" s="35"/>
      <c r="M21" s="43"/>
      <c r="N21" s="35"/>
      <c r="O21" s="43"/>
      <c r="P21" s="30" t="n">
        <v>0</v>
      </c>
      <c r="Q21" s="32" t="n">
        <v>0</v>
      </c>
      <c r="R21" s="35"/>
      <c r="S21" s="55"/>
      <c r="T21" s="43"/>
      <c r="U21" s="36"/>
      <c r="V21" s="41" t="n">
        <f aca="false">SUM(D21,F21,H21,J21,L21,N21,P21,R21,T21)</f>
        <v>0</v>
      </c>
      <c r="W21" s="42" t="n">
        <f aca="false">SUM(E21,G21,I21,K21,M21,O21,Q21,S21,U21)</f>
        <v>0</v>
      </c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</row>
    <row r="22" customFormat="false" ht="16.5" hidden="false" customHeight="true" outlineLevel="0" collapsed="false">
      <c r="A22" s="52"/>
      <c r="B22" s="52"/>
      <c r="C22" s="56" t="s">
        <v>38</v>
      </c>
      <c r="D22" s="46"/>
      <c r="E22" s="53"/>
      <c r="F22" s="46"/>
      <c r="G22" s="54"/>
      <c r="H22" s="35"/>
      <c r="I22" s="36"/>
      <c r="J22" s="35"/>
      <c r="K22" s="36"/>
      <c r="L22" s="35"/>
      <c r="M22" s="43"/>
      <c r="N22" s="35"/>
      <c r="O22" s="43"/>
      <c r="P22" s="30" t="n">
        <v>0</v>
      </c>
      <c r="Q22" s="45" t="n">
        <v>0</v>
      </c>
      <c r="R22" s="35"/>
      <c r="S22" s="55"/>
      <c r="T22" s="43"/>
      <c r="U22" s="36"/>
      <c r="V22" s="41" t="n">
        <f aca="false">SUM(D22,F22,H22,J22,L22,N22,P22,R22,T22)</f>
        <v>0</v>
      </c>
      <c r="W22" s="42" t="n">
        <f aca="false">SUM(E22,G22,I22,K22,M22,O22,Q22,S22,U22)</f>
        <v>0</v>
      </c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customFormat="false" ht="16.5" hidden="false" customHeight="true" outlineLevel="0" collapsed="false">
      <c r="A23" s="52"/>
      <c r="B23" s="52"/>
      <c r="C23" s="56" t="s">
        <v>39</v>
      </c>
      <c r="D23" s="46"/>
      <c r="E23" s="53"/>
      <c r="F23" s="46"/>
      <c r="G23" s="54"/>
      <c r="H23" s="35"/>
      <c r="I23" s="36"/>
      <c r="J23" s="35"/>
      <c r="K23" s="36"/>
      <c r="L23" s="35"/>
      <c r="M23" s="43"/>
      <c r="N23" s="35"/>
      <c r="O23" s="43"/>
      <c r="P23" s="30" t="n">
        <v>0</v>
      </c>
      <c r="Q23" s="45" t="n">
        <v>0</v>
      </c>
      <c r="R23" s="35"/>
      <c r="S23" s="55"/>
      <c r="T23" s="43"/>
      <c r="U23" s="36"/>
      <c r="V23" s="41" t="n">
        <f aca="false">SUM(D23,F23,H23,J23,L23,N23,P23,R23,T23)</f>
        <v>0</v>
      </c>
      <c r="W23" s="42" t="n">
        <f aca="false">SUM(E23,G23,I23,K23,M23,O23,Q23,S23,U23)</f>
        <v>0</v>
      </c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</row>
    <row r="24" customFormat="false" ht="16.5" hidden="false" customHeight="true" outlineLevel="0" collapsed="false">
      <c r="A24" s="52"/>
      <c r="B24" s="52"/>
      <c r="C24" s="56" t="s">
        <v>40</v>
      </c>
      <c r="D24" s="46"/>
      <c r="E24" s="53"/>
      <c r="F24" s="46"/>
      <c r="G24" s="54"/>
      <c r="H24" s="35"/>
      <c r="I24" s="36"/>
      <c r="J24" s="35"/>
      <c r="K24" s="36"/>
      <c r="L24" s="35"/>
      <c r="M24" s="43"/>
      <c r="N24" s="35"/>
      <c r="O24" s="43"/>
      <c r="P24" s="30" t="n">
        <v>0</v>
      </c>
      <c r="Q24" s="32" t="n">
        <v>0</v>
      </c>
      <c r="R24" s="35"/>
      <c r="S24" s="55"/>
      <c r="T24" s="43"/>
      <c r="U24" s="36"/>
      <c r="V24" s="41" t="n">
        <f aca="false">SUM(D24,F24,H24,J24,L24,N24,P24,R24,T24)</f>
        <v>0</v>
      </c>
      <c r="W24" s="42" t="n">
        <f aca="false">SUM(E24,G24,I24,K24,M24,O24,Q24,S24,U24)</f>
        <v>0</v>
      </c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</row>
    <row r="25" customFormat="false" ht="16.5" hidden="false" customHeight="true" outlineLevel="0" collapsed="false">
      <c r="A25" s="52"/>
      <c r="B25" s="28"/>
      <c r="C25" s="56" t="s">
        <v>41</v>
      </c>
      <c r="D25" s="46"/>
      <c r="E25" s="53"/>
      <c r="F25" s="46"/>
      <c r="G25" s="54"/>
      <c r="H25" s="35"/>
      <c r="I25" s="36"/>
      <c r="J25" s="35"/>
      <c r="K25" s="36"/>
      <c r="L25" s="35"/>
      <c r="M25" s="43"/>
      <c r="N25" s="35"/>
      <c r="O25" s="43"/>
      <c r="P25" s="30" t="n">
        <v>0</v>
      </c>
      <c r="Q25" s="45" t="n">
        <v>0</v>
      </c>
      <c r="R25" s="35"/>
      <c r="S25" s="57"/>
      <c r="T25" s="43"/>
      <c r="U25" s="36"/>
      <c r="V25" s="41" t="n">
        <f aca="false">SUM(D25,F25,H25,J25,L25,N25,P25,R25,T25)</f>
        <v>0</v>
      </c>
      <c r="W25" s="42" t="n">
        <f aca="false">SUM(E25,G25,I25,K25,M25,O25,Q25,S25,U25)</f>
        <v>0</v>
      </c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</row>
    <row r="26" customFormat="false" ht="16.5" hidden="false" customHeight="true" outlineLevel="0" collapsed="false">
      <c r="A26" s="52"/>
      <c r="B26" s="28" t="s">
        <v>42</v>
      </c>
      <c r="C26" s="29" t="s">
        <v>43</v>
      </c>
      <c r="D26" s="46"/>
      <c r="E26" s="53"/>
      <c r="F26" s="46"/>
      <c r="G26" s="54"/>
      <c r="H26" s="35"/>
      <c r="I26" s="36"/>
      <c r="J26" s="35"/>
      <c r="K26" s="36"/>
      <c r="L26" s="35"/>
      <c r="M26" s="43"/>
      <c r="N26" s="35"/>
      <c r="O26" s="43"/>
      <c r="P26" s="30"/>
      <c r="Q26" s="32"/>
      <c r="R26" s="58" t="n">
        <v>0</v>
      </c>
      <c r="S26" s="59" t="n">
        <v>0</v>
      </c>
      <c r="T26" s="43"/>
      <c r="U26" s="36"/>
      <c r="V26" s="41" t="n">
        <f aca="false">SUM(D26,F26,H26,J26,L26,N26,P26,R26,T26)</f>
        <v>0</v>
      </c>
      <c r="W26" s="42" t="n">
        <f aca="false">SUM(E26,G26,I26,K26,M26,O26,Q26,S26,U26)</f>
        <v>0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</row>
    <row r="27" customFormat="false" ht="16.5" hidden="false" customHeight="true" outlineLevel="0" collapsed="false">
      <c r="A27" s="52"/>
      <c r="B27" s="28"/>
      <c r="C27" s="29" t="s">
        <v>44</v>
      </c>
      <c r="D27" s="46"/>
      <c r="E27" s="53"/>
      <c r="F27" s="46"/>
      <c r="G27" s="54"/>
      <c r="H27" s="35"/>
      <c r="I27" s="36"/>
      <c r="J27" s="35"/>
      <c r="K27" s="36"/>
      <c r="L27" s="35"/>
      <c r="M27" s="43"/>
      <c r="N27" s="35"/>
      <c r="O27" s="43"/>
      <c r="P27" s="30" t="n">
        <v>0</v>
      </c>
      <c r="Q27" s="45" t="n">
        <v>0</v>
      </c>
      <c r="R27" s="35"/>
      <c r="S27" s="55"/>
      <c r="T27" s="43"/>
      <c r="U27" s="36"/>
      <c r="V27" s="41" t="n">
        <f aca="false">SUM(D27,F27,H27,J27,L27,N27,P27,R27,T27)</f>
        <v>0</v>
      </c>
      <c r="W27" s="42" t="n">
        <f aca="false">SUM(E27,G27,I27,K27,M27,O27,Q27,S27,U27)</f>
        <v>0</v>
      </c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</row>
    <row r="28" customFormat="false" ht="16.5" hidden="false" customHeight="true" outlineLevel="0" collapsed="false">
      <c r="A28" s="52"/>
      <c r="B28" s="60" t="s">
        <v>45</v>
      </c>
      <c r="C28" s="29" t="s">
        <v>46</v>
      </c>
      <c r="D28" s="46"/>
      <c r="E28" s="53"/>
      <c r="F28" s="46"/>
      <c r="G28" s="54"/>
      <c r="H28" s="35"/>
      <c r="I28" s="36"/>
      <c r="J28" s="35"/>
      <c r="K28" s="36"/>
      <c r="L28" s="35"/>
      <c r="M28" s="43"/>
      <c r="N28" s="35"/>
      <c r="O28" s="43"/>
      <c r="P28" s="30" t="n">
        <v>0</v>
      </c>
      <c r="Q28" s="32" t="n">
        <v>0</v>
      </c>
      <c r="R28" s="35"/>
      <c r="S28" s="55"/>
      <c r="T28" s="43"/>
      <c r="U28" s="36"/>
      <c r="V28" s="41" t="n">
        <f aca="false">SUM(D28,F28,H28,J28,L28,N28,P28,R28,T28)</f>
        <v>0</v>
      </c>
      <c r="W28" s="42" t="n">
        <f aca="false">SUM(E28,G28,I28,K28,M28,O28,Q28,S28,U28)</f>
        <v>0</v>
      </c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</row>
    <row r="29" customFormat="false" ht="16.5" hidden="false" customHeight="true" outlineLevel="0" collapsed="false">
      <c r="A29" s="52"/>
      <c r="B29" s="52"/>
      <c r="C29" s="29" t="s">
        <v>47</v>
      </c>
      <c r="D29" s="46"/>
      <c r="E29" s="53"/>
      <c r="F29" s="46"/>
      <c r="G29" s="54"/>
      <c r="H29" s="35"/>
      <c r="I29" s="36"/>
      <c r="J29" s="35"/>
      <c r="K29" s="36"/>
      <c r="L29" s="35"/>
      <c r="M29" s="43"/>
      <c r="N29" s="35"/>
      <c r="O29" s="43"/>
      <c r="P29" s="30" t="n">
        <v>0</v>
      </c>
      <c r="Q29" s="32" t="n">
        <v>0</v>
      </c>
      <c r="R29" s="35"/>
      <c r="S29" s="55"/>
      <c r="T29" s="43"/>
      <c r="U29" s="36"/>
      <c r="V29" s="41" t="n">
        <f aca="false">SUM(D29,F29,H29,J29,L29,N29,P29,R29,T29)</f>
        <v>0</v>
      </c>
      <c r="W29" s="42" t="n">
        <f aca="false">SUM(E29,G29,I29,K29,M29,O29,Q29,S29,U29)</f>
        <v>0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</row>
    <row r="30" customFormat="false" ht="16.5" hidden="false" customHeight="true" outlineLevel="0" collapsed="false">
      <c r="A30" s="52"/>
      <c r="B30" s="52"/>
      <c r="C30" s="29" t="s">
        <v>48</v>
      </c>
      <c r="D30" s="46"/>
      <c r="E30" s="53"/>
      <c r="F30" s="46"/>
      <c r="G30" s="54"/>
      <c r="H30" s="35"/>
      <c r="I30" s="36"/>
      <c r="J30" s="35"/>
      <c r="K30" s="36"/>
      <c r="L30" s="35"/>
      <c r="M30" s="43"/>
      <c r="N30" s="35"/>
      <c r="O30" s="43"/>
      <c r="P30" s="30" t="n">
        <v>0</v>
      </c>
      <c r="Q30" s="45" t="n">
        <v>0</v>
      </c>
      <c r="R30" s="35"/>
      <c r="S30" s="55"/>
      <c r="T30" s="43"/>
      <c r="U30" s="36"/>
      <c r="V30" s="41" t="n">
        <f aca="false">SUM(D30,F30,H30,J30,L30,N30,P30,R30,T30)</f>
        <v>0</v>
      </c>
      <c r="W30" s="42" t="n">
        <f aca="false">SUM(E30,G30,I30,K30,M30,O30,Q30,S30,U30)</f>
        <v>0</v>
      </c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</row>
    <row r="31" customFormat="false" ht="16.5" hidden="false" customHeight="true" outlineLevel="0" collapsed="false">
      <c r="A31" s="52"/>
      <c r="B31" s="52"/>
      <c r="C31" s="29" t="s">
        <v>49</v>
      </c>
      <c r="D31" s="46"/>
      <c r="E31" s="53"/>
      <c r="F31" s="46"/>
      <c r="G31" s="54"/>
      <c r="H31" s="35"/>
      <c r="I31" s="36"/>
      <c r="J31" s="35"/>
      <c r="K31" s="36"/>
      <c r="L31" s="35"/>
      <c r="M31" s="43"/>
      <c r="N31" s="35"/>
      <c r="O31" s="43"/>
      <c r="P31" s="30" t="n">
        <v>0</v>
      </c>
      <c r="Q31" s="45" t="n">
        <v>0</v>
      </c>
      <c r="R31" s="35"/>
      <c r="S31" s="55"/>
      <c r="T31" s="43"/>
      <c r="U31" s="36"/>
      <c r="V31" s="41" t="n">
        <f aca="false">SUM(D31,F31,H31,J31,L31,N31,P31,R31,T31)</f>
        <v>0</v>
      </c>
      <c r="W31" s="42" t="n">
        <f aca="false">SUM(E31,G31,I31,K31,M31,O31,Q31,S31,U31)</f>
        <v>0</v>
      </c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</row>
    <row r="32" customFormat="false" ht="16.5" hidden="false" customHeight="true" outlineLevel="0" collapsed="false">
      <c r="A32" s="52"/>
      <c r="B32" s="52"/>
      <c r="C32" s="29" t="s">
        <v>50</v>
      </c>
      <c r="D32" s="46"/>
      <c r="E32" s="53"/>
      <c r="F32" s="46"/>
      <c r="G32" s="54"/>
      <c r="H32" s="35"/>
      <c r="I32" s="36"/>
      <c r="J32" s="35"/>
      <c r="K32" s="36"/>
      <c r="L32" s="35"/>
      <c r="M32" s="43"/>
      <c r="N32" s="35"/>
      <c r="O32" s="43"/>
      <c r="P32" s="30" t="n">
        <v>0</v>
      </c>
      <c r="Q32" s="45" t="n">
        <v>0</v>
      </c>
      <c r="R32" s="35"/>
      <c r="S32" s="55"/>
      <c r="T32" s="43"/>
      <c r="U32" s="36"/>
      <c r="V32" s="41" t="n">
        <f aca="false">SUM(D32,F32,H32,J32,L32,N32,P32,R32,T32)</f>
        <v>0</v>
      </c>
      <c r="W32" s="42" t="n">
        <f aca="false">SUM(E32,G32,I32,K32,M32,O32,Q32,S32,U32)</f>
        <v>0</v>
      </c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</row>
    <row r="33" customFormat="false" ht="16.5" hidden="false" customHeight="true" outlineLevel="0" collapsed="false">
      <c r="A33" s="52"/>
      <c r="B33" s="52"/>
      <c r="C33" s="29" t="s">
        <v>51</v>
      </c>
      <c r="D33" s="46"/>
      <c r="E33" s="53"/>
      <c r="F33" s="46"/>
      <c r="G33" s="54"/>
      <c r="H33" s="35"/>
      <c r="I33" s="36"/>
      <c r="J33" s="35"/>
      <c r="K33" s="36"/>
      <c r="L33" s="35"/>
      <c r="M33" s="43"/>
      <c r="N33" s="35"/>
      <c r="O33" s="43"/>
      <c r="P33" s="30" t="n">
        <v>0</v>
      </c>
      <c r="Q33" s="45" t="n">
        <v>0</v>
      </c>
      <c r="R33" s="35"/>
      <c r="S33" s="55"/>
      <c r="T33" s="43"/>
      <c r="U33" s="36"/>
      <c r="V33" s="41" t="n">
        <f aca="false">SUM(D33,F33,H33,J33,L33,N33,P33,R33,T33)</f>
        <v>0</v>
      </c>
      <c r="W33" s="42" t="n">
        <f aca="false">SUM(E33,G33,I33,K33,M33,O33,Q33,S33,U33)</f>
        <v>0</v>
      </c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</row>
    <row r="34" customFormat="false" ht="16.5" hidden="false" customHeight="true" outlineLevel="0" collapsed="false">
      <c r="A34" s="52"/>
      <c r="B34" s="52"/>
      <c r="C34" s="29" t="s">
        <v>52</v>
      </c>
      <c r="D34" s="46"/>
      <c r="E34" s="53"/>
      <c r="F34" s="46"/>
      <c r="G34" s="54"/>
      <c r="H34" s="35"/>
      <c r="I34" s="36"/>
      <c r="J34" s="35"/>
      <c r="K34" s="36"/>
      <c r="L34" s="35"/>
      <c r="M34" s="43"/>
      <c r="N34" s="35"/>
      <c r="O34" s="43"/>
      <c r="P34" s="30" t="n">
        <v>0</v>
      </c>
      <c r="Q34" s="32" t="n">
        <v>0</v>
      </c>
      <c r="R34" s="35"/>
      <c r="S34" s="55"/>
      <c r="T34" s="43"/>
      <c r="U34" s="36"/>
      <c r="V34" s="41" t="n">
        <f aca="false">SUM(D34,F34,H34,J34,L34,N34,P34,R34,T34)</f>
        <v>0</v>
      </c>
      <c r="W34" s="42" t="n">
        <f aca="false">SUM(E34,G34,I34,K34,M34,O34,Q34,S34,U34)</f>
        <v>0</v>
      </c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</row>
    <row r="35" customFormat="false" ht="16.5" hidden="false" customHeight="true" outlineLevel="0" collapsed="false">
      <c r="A35" s="52"/>
      <c r="B35" s="52"/>
      <c r="C35" s="29" t="s">
        <v>53</v>
      </c>
      <c r="D35" s="46"/>
      <c r="E35" s="53"/>
      <c r="F35" s="46"/>
      <c r="G35" s="54"/>
      <c r="H35" s="35"/>
      <c r="I35" s="36"/>
      <c r="J35" s="35"/>
      <c r="K35" s="36"/>
      <c r="L35" s="35"/>
      <c r="M35" s="43"/>
      <c r="N35" s="35"/>
      <c r="O35" s="43"/>
      <c r="P35" s="30" t="n">
        <v>0</v>
      </c>
      <c r="Q35" s="32" t="n">
        <v>0</v>
      </c>
      <c r="R35" s="35"/>
      <c r="S35" s="55"/>
      <c r="T35" s="43"/>
      <c r="U35" s="36"/>
      <c r="V35" s="41" t="n">
        <f aca="false">SUM(D35,F35,H35,J35,L35,N35,P35,R35,T35)</f>
        <v>0</v>
      </c>
      <c r="W35" s="42" t="n">
        <f aca="false">SUM(E35,G35,I35,K35,M35,O35,Q35,S35,U35)</f>
        <v>0</v>
      </c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</row>
    <row r="36" customFormat="false" ht="16.5" hidden="false" customHeight="true" outlineLevel="0" collapsed="false">
      <c r="A36" s="52"/>
      <c r="B36" s="52"/>
      <c r="C36" s="29" t="s">
        <v>54</v>
      </c>
      <c r="D36" s="46"/>
      <c r="E36" s="53"/>
      <c r="F36" s="46"/>
      <c r="G36" s="54"/>
      <c r="H36" s="35"/>
      <c r="I36" s="36"/>
      <c r="J36" s="35"/>
      <c r="K36" s="36"/>
      <c r="L36" s="35"/>
      <c r="M36" s="43"/>
      <c r="N36" s="35"/>
      <c r="O36" s="43"/>
      <c r="P36" s="30" t="n">
        <v>0</v>
      </c>
      <c r="Q36" s="45" t="n">
        <v>0</v>
      </c>
      <c r="R36" s="35"/>
      <c r="S36" s="55"/>
      <c r="T36" s="43"/>
      <c r="U36" s="36"/>
      <c r="V36" s="41" t="n">
        <f aca="false">SUM(D36,F36,H36,J36,L36,N36,P36,R36,T36)</f>
        <v>0</v>
      </c>
      <c r="W36" s="42" t="n">
        <f aca="false">SUM(E36,G36,I36,K36,M36,O36,Q36,S36,U36)</f>
        <v>0</v>
      </c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</row>
    <row r="37" customFormat="false" ht="16.5" hidden="false" customHeight="true" outlineLevel="0" collapsed="false">
      <c r="A37" s="52"/>
      <c r="B37" s="52"/>
      <c r="C37" s="29" t="s">
        <v>55</v>
      </c>
      <c r="D37" s="46"/>
      <c r="E37" s="53"/>
      <c r="F37" s="46"/>
      <c r="G37" s="54"/>
      <c r="H37" s="35"/>
      <c r="I37" s="36"/>
      <c r="J37" s="35"/>
      <c r="K37" s="36"/>
      <c r="L37" s="35"/>
      <c r="M37" s="43"/>
      <c r="N37" s="35"/>
      <c r="O37" s="43"/>
      <c r="P37" s="30" t="n">
        <v>0</v>
      </c>
      <c r="Q37" s="32" t="n">
        <v>0</v>
      </c>
      <c r="R37" s="35"/>
      <c r="S37" s="55"/>
      <c r="T37" s="43"/>
      <c r="U37" s="36"/>
      <c r="V37" s="41" t="n">
        <f aca="false">SUM(D37,F37,H37,J37,L37,N37,P37,R37,T37)</f>
        <v>0</v>
      </c>
      <c r="W37" s="42" t="n">
        <f aca="false">SUM(E37,G37,I37,K37,M37,O37,Q37,S37,U37)</f>
        <v>0</v>
      </c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</row>
    <row r="38" customFormat="false" ht="16.5" hidden="false" customHeight="true" outlineLevel="0" collapsed="false">
      <c r="A38" s="52"/>
      <c r="B38" s="52"/>
      <c r="C38" s="29" t="s">
        <v>56</v>
      </c>
      <c r="D38" s="46"/>
      <c r="E38" s="53"/>
      <c r="F38" s="46"/>
      <c r="G38" s="54"/>
      <c r="H38" s="35"/>
      <c r="I38" s="36"/>
      <c r="J38" s="35"/>
      <c r="K38" s="36"/>
      <c r="L38" s="35"/>
      <c r="M38" s="43"/>
      <c r="N38" s="35"/>
      <c r="O38" s="43"/>
      <c r="P38" s="30" t="n">
        <v>0</v>
      </c>
      <c r="Q38" s="32" t="n">
        <v>0</v>
      </c>
      <c r="R38" s="35"/>
      <c r="S38" s="55"/>
      <c r="T38" s="43"/>
      <c r="U38" s="36"/>
      <c r="V38" s="41" t="n">
        <f aca="false">SUM(D38,F38,H38,J38,L38,N38,P38,R38,T38)</f>
        <v>0</v>
      </c>
      <c r="W38" s="42" t="n">
        <f aca="false">SUM(E38,G38,I38,K38,M38,O38,Q38,S38,U38)</f>
        <v>0</v>
      </c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</row>
    <row r="39" customFormat="false" ht="16.5" hidden="false" customHeight="true" outlineLevel="0" collapsed="false">
      <c r="A39" s="52"/>
      <c r="B39" s="60"/>
      <c r="C39" s="29" t="s">
        <v>57</v>
      </c>
      <c r="D39" s="46"/>
      <c r="E39" s="53"/>
      <c r="F39" s="46"/>
      <c r="G39" s="54"/>
      <c r="H39" s="35"/>
      <c r="I39" s="36"/>
      <c r="J39" s="35"/>
      <c r="K39" s="36"/>
      <c r="L39" s="35"/>
      <c r="M39" s="43"/>
      <c r="N39" s="35"/>
      <c r="O39" s="43"/>
      <c r="P39" s="30" t="n">
        <v>0</v>
      </c>
      <c r="Q39" s="32" t="n">
        <v>0</v>
      </c>
      <c r="R39" s="35"/>
      <c r="S39" s="55"/>
      <c r="T39" s="43"/>
      <c r="U39" s="36"/>
      <c r="V39" s="41" t="n">
        <f aca="false">SUM(D39,F39,H39,J39,L39,N39,P39,R39,T39)</f>
        <v>0</v>
      </c>
      <c r="W39" s="42" t="n">
        <f aca="false">SUM(E39,G39,I39,K39,M39,O39,Q39,S39,U39)</f>
        <v>0</v>
      </c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</row>
    <row r="40" customFormat="false" ht="16.5" hidden="false" customHeight="true" outlineLevel="0" collapsed="false">
      <c r="A40" s="52"/>
      <c r="B40" s="28" t="s">
        <v>58</v>
      </c>
      <c r="C40" s="29" t="s">
        <v>59</v>
      </c>
      <c r="D40" s="37"/>
      <c r="E40" s="39"/>
      <c r="F40" s="37"/>
      <c r="G40" s="51"/>
      <c r="H40" s="48"/>
      <c r="I40" s="51"/>
      <c r="J40" s="30" t="n">
        <v>0</v>
      </c>
      <c r="K40" s="32" t="n">
        <v>0</v>
      </c>
      <c r="L40" s="30"/>
      <c r="M40" s="31"/>
      <c r="N40" s="30"/>
      <c r="O40" s="31"/>
      <c r="P40" s="48"/>
      <c r="Q40" s="51"/>
      <c r="R40" s="48"/>
      <c r="S40" s="49"/>
      <c r="T40" s="30" t="n">
        <v>0</v>
      </c>
      <c r="U40" s="32" t="n">
        <v>0</v>
      </c>
      <c r="V40" s="41" t="n">
        <f aca="false">SUM(D40,F40,H40,J40,L40,N40,P40,R40,T40)</f>
        <v>0</v>
      </c>
      <c r="W40" s="42" t="n">
        <f aca="false">SUM(E40,G40,I40,K40,M40,O40,Q40,S40,U40)</f>
        <v>0</v>
      </c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</row>
    <row r="41" customFormat="false" ht="16.5" hidden="false" customHeight="true" outlineLevel="0" collapsed="false">
      <c r="A41" s="52"/>
      <c r="B41" s="52"/>
      <c r="C41" s="29" t="s">
        <v>60</v>
      </c>
      <c r="D41" s="37"/>
      <c r="E41" s="39"/>
      <c r="F41" s="37"/>
      <c r="G41" s="51"/>
      <c r="H41" s="48"/>
      <c r="I41" s="51"/>
      <c r="J41" s="30" t="n">
        <v>0</v>
      </c>
      <c r="K41" s="32" t="n">
        <v>0</v>
      </c>
      <c r="L41" s="30"/>
      <c r="M41" s="31"/>
      <c r="N41" s="30"/>
      <c r="O41" s="31"/>
      <c r="P41" s="48"/>
      <c r="Q41" s="51"/>
      <c r="R41" s="48"/>
      <c r="S41" s="49"/>
      <c r="T41" s="30" t="n">
        <v>0</v>
      </c>
      <c r="U41" s="32" t="n">
        <v>0</v>
      </c>
      <c r="V41" s="41" t="n">
        <f aca="false">SUM(D41,F41,H41,J41,L41,N41,P41,R41,T41)</f>
        <v>0</v>
      </c>
      <c r="W41" s="42" t="n">
        <f aca="false">SUM(E41,G41,I41,K41,M41,O41,Q41,S41,U41)</f>
        <v>0</v>
      </c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</row>
    <row r="42" customFormat="false" ht="16.5" hidden="false" customHeight="true" outlineLevel="0" collapsed="false">
      <c r="A42" s="52"/>
      <c r="B42" s="52"/>
      <c r="C42" s="29" t="s">
        <v>61</v>
      </c>
      <c r="D42" s="37"/>
      <c r="E42" s="39"/>
      <c r="F42" s="37"/>
      <c r="G42" s="51"/>
      <c r="H42" s="48"/>
      <c r="I42" s="51"/>
      <c r="J42" s="30" t="n">
        <v>0</v>
      </c>
      <c r="K42" s="32" t="n">
        <v>0</v>
      </c>
      <c r="L42" s="30"/>
      <c r="M42" s="31"/>
      <c r="N42" s="30"/>
      <c r="O42" s="31"/>
      <c r="P42" s="48"/>
      <c r="Q42" s="51"/>
      <c r="R42" s="48"/>
      <c r="S42" s="49"/>
      <c r="T42" s="30" t="n">
        <v>0</v>
      </c>
      <c r="U42" s="32" t="n">
        <v>0</v>
      </c>
      <c r="V42" s="41" t="n">
        <f aca="false">SUM(D42,F42,H42,J42,L42,N42,P42,R42,T42)</f>
        <v>0</v>
      </c>
      <c r="W42" s="42" t="n">
        <f aca="false">SUM(E42,G42,I42,K42,M42,O42,Q42,S42,U42)</f>
        <v>0</v>
      </c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</row>
    <row r="43" customFormat="false" ht="16.5" hidden="false" customHeight="true" outlineLevel="0" collapsed="false">
      <c r="A43" s="52"/>
      <c r="B43" s="52"/>
      <c r="C43" s="29" t="s">
        <v>62</v>
      </c>
      <c r="D43" s="37"/>
      <c r="E43" s="39"/>
      <c r="F43" s="37"/>
      <c r="G43" s="51"/>
      <c r="H43" s="48"/>
      <c r="I43" s="51"/>
      <c r="J43" s="30" t="n">
        <v>0</v>
      </c>
      <c r="K43" s="32" t="n">
        <v>0</v>
      </c>
      <c r="L43" s="30"/>
      <c r="M43" s="31"/>
      <c r="N43" s="30"/>
      <c r="O43" s="31"/>
      <c r="P43" s="48"/>
      <c r="Q43" s="51"/>
      <c r="R43" s="48"/>
      <c r="S43" s="49"/>
      <c r="T43" s="30" t="n">
        <v>0</v>
      </c>
      <c r="U43" s="32" t="n">
        <v>0</v>
      </c>
      <c r="V43" s="41" t="n">
        <f aca="false">SUM(D43,F43,H43,J43,L43,N43,P43,R43,T43)</f>
        <v>0</v>
      </c>
      <c r="W43" s="42" t="n">
        <f aca="false">SUM(E43,G43,I43,K43,M43,O43,Q43,S43,U43)</f>
        <v>0</v>
      </c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</row>
    <row r="44" customFormat="false" ht="16.5" hidden="false" customHeight="true" outlineLevel="0" collapsed="false">
      <c r="A44" s="52"/>
      <c r="B44" s="52"/>
      <c r="C44" s="29" t="s">
        <v>63</v>
      </c>
      <c r="D44" s="37"/>
      <c r="E44" s="39"/>
      <c r="F44" s="37"/>
      <c r="G44" s="51"/>
      <c r="H44" s="48"/>
      <c r="I44" s="51"/>
      <c r="J44" s="30" t="n">
        <v>0</v>
      </c>
      <c r="K44" s="32" t="n">
        <v>0</v>
      </c>
      <c r="L44" s="30"/>
      <c r="M44" s="31"/>
      <c r="N44" s="30"/>
      <c r="O44" s="31"/>
      <c r="P44" s="48"/>
      <c r="Q44" s="51"/>
      <c r="R44" s="48"/>
      <c r="S44" s="49"/>
      <c r="T44" s="30" t="n">
        <v>0</v>
      </c>
      <c r="U44" s="32" t="n">
        <v>0</v>
      </c>
      <c r="V44" s="41" t="n">
        <f aca="false">SUM(D44,F44,H44,J44,L44,N44,P44,R44,T44)</f>
        <v>0</v>
      </c>
      <c r="W44" s="42" t="n">
        <f aca="false">SUM(E44,G44,I44,K44,M44,O44,Q44,S44,U44)</f>
        <v>0</v>
      </c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</row>
    <row r="45" customFormat="false" ht="16.5" hidden="false" customHeight="true" outlineLevel="0" collapsed="false">
      <c r="A45" s="52"/>
      <c r="B45" s="52"/>
      <c r="C45" s="29" t="s">
        <v>64</v>
      </c>
      <c r="D45" s="37"/>
      <c r="E45" s="39"/>
      <c r="F45" s="37"/>
      <c r="G45" s="51"/>
      <c r="H45" s="48"/>
      <c r="I45" s="51"/>
      <c r="J45" s="30" t="n">
        <v>0</v>
      </c>
      <c r="K45" s="32" t="n">
        <v>0</v>
      </c>
      <c r="L45" s="30"/>
      <c r="M45" s="31"/>
      <c r="N45" s="30"/>
      <c r="O45" s="31"/>
      <c r="P45" s="48"/>
      <c r="Q45" s="51"/>
      <c r="R45" s="48"/>
      <c r="S45" s="49"/>
      <c r="T45" s="30" t="n">
        <v>0</v>
      </c>
      <c r="U45" s="32" t="n">
        <v>0</v>
      </c>
      <c r="V45" s="41" t="n">
        <f aca="false">SUM(D45,F45,H45,J45,L45,N45,P45,R45,T45)</f>
        <v>0</v>
      </c>
      <c r="W45" s="42" t="n">
        <f aca="false">SUM(E45,G45,I45,K45,M45,O45,Q45,S45,U45)</f>
        <v>0</v>
      </c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</row>
    <row r="46" customFormat="false" ht="16.5" hidden="false" customHeight="true" outlineLevel="0" collapsed="false">
      <c r="A46" s="52"/>
      <c r="B46" s="28"/>
      <c r="C46" s="29" t="s">
        <v>65</v>
      </c>
      <c r="D46" s="37"/>
      <c r="E46" s="39"/>
      <c r="F46" s="37"/>
      <c r="G46" s="51"/>
      <c r="H46" s="48"/>
      <c r="I46" s="51"/>
      <c r="J46" s="30" t="n">
        <v>0</v>
      </c>
      <c r="K46" s="32" t="n">
        <v>0</v>
      </c>
      <c r="L46" s="30"/>
      <c r="M46" s="31"/>
      <c r="N46" s="30"/>
      <c r="O46" s="31"/>
      <c r="P46" s="48"/>
      <c r="Q46" s="51"/>
      <c r="R46" s="48"/>
      <c r="S46" s="49"/>
      <c r="T46" s="30" t="n">
        <v>0</v>
      </c>
      <c r="U46" s="32" t="n">
        <v>0</v>
      </c>
      <c r="V46" s="41" t="n">
        <f aca="false">SUM(D46,F46,H46,J46,L46,N46,P46,R46,T46)</f>
        <v>0</v>
      </c>
      <c r="W46" s="42" t="n">
        <f aca="false">SUM(E46,G46,I46,K46,M46,O46,Q46,S46,U46)</f>
        <v>0</v>
      </c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</row>
    <row r="47" customFormat="false" ht="16.5" hidden="false" customHeight="true" outlineLevel="0" collapsed="false">
      <c r="A47" s="52"/>
      <c r="B47" s="28" t="s">
        <v>66</v>
      </c>
      <c r="C47" s="29" t="s">
        <v>59</v>
      </c>
      <c r="D47" s="37"/>
      <c r="E47" s="39"/>
      <c r="F47" s="37"/>
      <c r="G47" s="40"/>
      <c r="H47" s="30" t="n">
        <v>0</v>
      </c>
      <c r="I47" s="32" t="n">
        <v>0</v>
      </c>
      <c r="J47" s="48"/>
      <c r="K47" s="51"/>
      <c r="L47" s="48"/>
      <c r="M47" s="50"/>
      <c r="N47" s="48"/>
      <c r="O47" s="50"/>
      <c r="P47" s="48"/>
      <c r="Q47" s="51"/>
      <c r="R47" s="48"/>
      <c r="S47" s="49"/>
      <c r="T47" s="50"/>
      <c r="U47" s="51"/>
      <c r="V47" s="41" t="n">
        <f aca="false">SUM(D47,F47,H47,J47,L47,N47,P47,R47,T47)</f>
        <v>0</v>
      </c>
      <c r="W47" s="42" t="n">
        <f aca="false">SUM(E47,G47,I47,K47,M47,O47,Q47,S47,U47)</f>
        <v>0</v>
      </c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</row>
    <row r="48" customFormat="false" ht="16.5" hidden="false" customHeight="true" outlineLevel="0" collapsed="false">
      <c r="A48" s="52"/>
      <c r="B48" s="52"/>
      <c r="C48" s="29" t="s">
        <v>60</v>
      </c>
      <c r="D48" s="37"/>
      <c r="E48" s="39"/>
      <c r="F48" s="37"/>
      <c r="G48" s="40"/>
      <c r="H48" s="30" t="n">
        <v>0</v>
      </c>
      <c r="I48" s="32" t="n">
        <v>0</v>
      </c>
      <c r="J48" s="48"/>
      <c r="K48" s="51"/>
      <c r="L48" s="48"/>
      <c r="M48" s="50"/>
      <c r="N48" s="48"/>
      <c r="O48" s="50"/>
      <c r="P48" s="48"/>
      <c r="Q48" s="51"/>
      <c r="R48" s="48"/>
      <c r="S48" s="49"/>
      <c r="T48" s="50"/>
      <c r="U48" s="51"/>
      <c r="V48" s="41" t="n">
        <f aca="false">SUM(D48,F48,H48,J48,L48,N48,P48,R48,T48)</f>
        <v>0</v>
      </c>
      <c r="W48" s="42" t="n">
        <f aca="false">SUM(E48,G48,I48,K48,M48,O48,Q48,S48,U48)</f>
        <v>0</v>
      </c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</row>
    <row r="49" customFormat="false" ht="16.5" hidden="false" customHeight="true" outlineLevel="0" collapsed="false">
      <c r="A49" s="52"/>
      <c r="B49" s="52"/>
      <c r="C49" s="29" t="s">
        <v>61</v>
      </c>
      <c r="D49" s="37"/>
      <c r="E49" s="39"/>
      <c r="F49" s="37"/>
      <c r="G49" s="40"/>
      <c r="H49" s="30" t="n">
        <v>0</v>
      </c>
      <c r="I49" s="32" t="n">
        <v>0</v>
      </c>
      <c r="J49" s="48"/>
      <c r="K49" s="51"/>
      <c r="L49" s="48"/>
      <c r="M49" s="50"/>
      <c r="N49" s="48"/>
      <c r="O49" s="50"/>
      <c r="P49" s="48"/>
      <c r="Q49" s="51"/>
      <c r="R49" s="48"/>
      <c r="S49" s="49"/>
      <c r="T49" s="50"/>
      <c r="U49" s="51"/>
      <c r="V49" s="41" t="n">
        <f aca="false">SUM(D49,F49,H49,J49,L49,N49,P49,R49,T49)</f>
        <v>0</v>
      </c>
      <c r="W49" s="42" t="n">
        <f aca="false">SUM(E49,G49,I49,K49,M49,O49,Q49,S49,U49)</f>
        <v>0</v>
      </c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</row>
    <row r="50" customFormat="false" ht="16.5" hidden="false" customHeight="true" outlineLevel="0" collapsed="false">
      <c r="A50" s="52"/>
      <c r="B50" s="52"/>
      <c r="C50" s="29" t="s">
        <v>62</v>
      </c>
      <c r="D50" s="37"/>
      <c r="E50" s="39"/>
      <c r="F50" s="37"/>
      <c r="G50" s="40"/>
      <c r="H50" s="30" t="n">
        <v>0</v>
      </c>
      <c r="I50" s="32" t="n">
        <v>0</v>
      </c>
      <c r="J50" s="48"/>
      <c r="K50" s="51"/>
      <c r="L50" s="48"/>
      <c r="M50" s="50"/>
      <c r="N50" s="48"/>
      <c r="O50" s="50"/>
      <c r="P50" s="48"/>
      <c r="Q50" s="51"/>
      <c r="R50" s="48"/>
      <c r="S50" s="49"/>
      <c r="T50" s="50"/>
      <c r="U50" s="51"/>
      <c r="V50" s="41" t="n">
        <f aca="false">SUM(D50,F50,H50,J50,L50,N50,P50,R50,T50)</f>
        <v>0</v>
      </c>
      <c r="W50" s="42" t="n">
        <f aca="false">SUM(E50,G50,I50,K50,M50,O50,Q50,S50,U50)</f>
        <v>0</v>
      </c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</row>
    <row r="51" customFormat="false" ht="16.5" hidden="false" customHeight="true" outlineLevel="0" collapsed="false">
      <c r="A51" s="52"/>
      <c r="B51" s="52"/>
      <c r="C51" s="29" t="s">
        <v>63</v>
      </c>
      <c r="D51" s="37"/>
      <c r="E51" s="39"/>
      <c r="F51" s="37"/>
      <c r="G51" s="40"/>
      <c r="H51" s="30" t="n">
        <v>0</v>
      </c>
      <c r="I51" s="32" t="n">
        <v>0</v>
      </c>
      <c r="J51" s="48"/>
      <c r="K51" s="51"/>
      <c r="L51" s="48"/>
      <c r="M51" s="50"/>
      <c r="N51" s="48"/>
      <c r="O51" s="50"/>
      <c r="P51" s="48"/>
      <c r="Q51" s="51"/>
      <c r="R51" s="48"/>
      <c r="S51" s="49"/>
      <c r="T51" s="50"/>
      <c r="U51" s="51"/>
      <c r="V51" s="41" t="n">
        <f aca="false">SUM(D51,F51,H51,J51,L51,N51,P51,R51,T51)</f>
        <v>0</v>
      </c>
      <c r="W51" s="42" t="n">
        <f aca="false">SUM(E51,G51,I51,K51,M51,O51,Q51,S51,U51)</f>
        <v>0</v>
      </c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</row>
    <row r="52" customFormat="false" ht="16.5" hidden="false" customHeight="true" outlineLevel="0" collapsed="false">
      <c r="A52" s="52"/>
      <c r="B52" s="52"/>
      <c r="C52" s="29" t="s">
        <v>64</v>
      </c>
      <c r="D52" s="37"/>
      <c r="E52" s="39"/>
      <c r="F52" s="37"/>
      <c r="G52" s="40"/>
      <c r="H52" s="30" t="n">
        <v>0</v>
      </c>
      <c r="I52" s="32" t="n">
        <v>0</v>
      </c>
      <c r="J52" s="48"/>
      <c r="K52" s="51"/>
      <c r="L52" s="48"/>
      <c r="M52" s="50"/>
      <c r="N52" s="48"/>
      <c r="O52" s="50"/>
      <c r="P52" s="48"/>
      <c r="Q52" s="51"/>
      <c r="R52" s="48"/>
      <c r="S52" s="49"/>
      <c r="T52" s="50"/>
      <c r="U52" s="51"/>
      <c r="V52" s="41" t="n">
        <f aca="false">SUM(D52,F52,H52,J52,L52,N52,P52,R52,T52)</f>
        <v>0</v>
      </c>
      <c r="W52" s="42" t="n">
        <f aca="false">SUM(E52,G52,I52,K52,M52,O52,Q52,S52,U52)</f>
        <v>0</v>
      </c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</row>
    <row r="53" customFormat="false" ht="16.5" hidden="false" customHeight="true" outlineLevel="0" collapsed="false">
      <c r="A53" s="52"/>
      <c r="B53" s="28"/>
      <c r="C53" s="29" t="s">
        <v>65</v>
      </c>
      <c r="D53" s="37"/>
      <c r="E53" s="39"/>
      <c r="F53" s="37"/>
      <c r="G53" s="40"/>
      <c r="H53" s="30" t="n">
        <v>0</v>
      </c>
      <c r="I53" s="32" t="n">
        <v>0</v>
      </c>
      <c r="J53" s="48"/>
      <c r="K53" s="51"/>
      <c r="L53" s="48"/>
      <c r="M53" s="50"/>
      <c r="N53" s="48"/>
      <c r="O53" s="50"/>
      <c r="P53" s="48"/>
      <c r="Q53" s="51"/>
      <c r="R53" s="48"/>
      <c r="S53" s="49"/>
      <c r="T53" s="50"/>
      <c r="U53" s="51"/>
      <c r="V53" s="41" t="n">
        <f aca="false">SUM(D53,F53,H53,J53,L53,N53,P53,R53,T53)</f>
        <v>0</v>
      </c>
      <c r="W53" s="42" t="n">
        <f aca="false">SUM(E53,G53,I53,K53,M53,O53,Q53,S53,U53)</f>
        <v>0</v>
      </c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</row>
    <row r="54" customFormat="false" ht="16.5" hidden="false" customHeight="true" outlineLevel="0" collapsed="false">
      <c r="A54" s="52"/>
      <c r="B54" s="28" t="s">
        <v>67</v>
      </c>
      <c r="C54" s="29" t="s">
        <v>59</v>
      </c>
      <c r="D54" s="37"/>
      <c r="E54" s="39"/>
      <c r="F54" s="37"/>
      <c r="G54" s="40"/>
      <c r="H54" s="48"/>
      <c r="I54" s="51"/>
      <c r="J54" s="48"/>
      <c r="K54" s="32"/>
      <c r="L54" s="30"/>
      <c r="M54" s="31"/>
      <c r="N54" s="30"/>
      <c r="O54" s="31"/>
      <c r="P54" s="48"/>
      <c r="Q54" s="51"/>
      <c r="R54" s="48"/>
      <c r="S54" s="49"/>
      <c r="T54" s="30" t="n">
        <v>0</v>
      </c>
      <c r="U54" s="32" t="n">
        <v>0</v>
      </c>
      <c r="V54" s="41" t="n">
        <f aca="false">SUM(D54,F54,H54,J54,L54,N54,P54,R54,T54)</f>
        <v>0</v>
      </c>
      <c r="W54" s="42" t="n">
        <f aca="false">SUM(E54,G54,I54,K54,M54,O54,Q54,S54,U54)</f>
        <v>0</v>
      </c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</row>
    <row r="55" customFormat="false" ht="16.5" hidden="false" customHeight="true" outlineLevel="0" collapsed="false">
      <c r="A55" s="52"/>
      <c r="B55" s="52"/>
      <c r="C55" s="29" t="s">
        <v>60</v>
      </c>
      <c r="D55" s="37"/>
      <c r="E55" s="39"/>
      <c r="F55" s="37"/>
      <c r="G55" s="40"/>
      <c r="H55" s="48"/>
      <c r="I55" s="51"/>
      <c r="J55" s="48"/>
      <c r="K55" s="32"/>
      <c r="L55" s="30"/>
      <c r="M55" s="31"/>
      <c r="N55" s="30"/>
      <c r="O55" s="31"/>
      <c r="P55" s="48"/>
      <c r="Q55" s="51"/>
      <c r="R55" s="48"/>
      <c r="S55" s="49"/>
      <c r="T55" s="30" t="n">
        <v>0</v>
      </c>
      <c r="U55" s="32" t="n">
        <v>0</v>
      </c>
      <c r="V55" s="41" t="n">
        <f aca="false">SUM(D55,F55,H55,J55,L55,N55,P55,R55,T55)</f>
        <v>0</v>
      </c>
      <c r="W55" s="42" t="n">
        <f aca="false">SUM(E55,G55,I55,K55,M55,O55,Q55,S55,U55)</f>
        <v>0</v>
      </c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</row>
    <row r="56" customFormat="false" ht="16.5" hidden="false" customHeight="true" outlineLevel="0" collapsed="false">
      <c r="A56" s="52"/>
      <c r="B56" s="52"/>
      <c r="C56" s="29" t="s">
        <v>61</v>
      </c>
      <c r="D56" s="37"/>
      <c r="E56" s="39"/>
      <c r="F56" s="37"/>
      <c r="G56" s="40"/>
      <c r="H56" s="48"/>
      <c r="I56" s="51"/>
      <c r="J56" s="48"/>
      <c r="K56" s="32"/>
      <c r="L56" s="30"/>
      <c r="M56" s="31"/>
      <c r="N56" s="30"/>
      <c r="O56" s="31"/>
      <c r="P56" s="48"/>
      <c r="Q56" s="51"/>
      <c r="R56" s="48"/>
      <c r="S56" s="49"/>
      <c r="T56" s="30" t="n">
        <v>0</v>
      </c>
      <c r="U56" s="32" t="n">
        <v>0</v>
      </c>
      <c r="V56" s="41" t="n">
        <f aca="false">SUM(D56,F56,H56,J56,L56,N56,P56,R56,T56)</f>
        <v>0</v>
      </c>
      <c r="W56" s="42" t="n">
        <f aca="false">SUM(E56,G56,I56,K56,M56,O56,Q56,S56,U56)</f>
        <v>0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</row>
    <row r="57" customFormat="false" ht="16.5" hidden="false" customHeight="true" outlineLevel="0" collapsed="false">
      <c r="A57" s="52"/>
      <c r="B57" s="52"/>
      <c r="C57" s="29" t="s">
        <v>62</v>
      </c>
      <c r="D57" s="37"/>
      <c r="E57" s="39"/>
      <c r="F57" s="37"/>
      <c r="G57" s="40"/>
      <c r="H57" s="48"/>
      <c r="I57" s="51"/>
      <c r="J57" s="48"/>
      <c r="K57" s="32"/>
      <c r="L57" s="30"/>
      <c r="M57" s="31"/>
      <c r="N57" s="30"/>
      <c r="O57" s="31"/>
      <c r="P57" s="48"/>
      <c r="Q57" s="51"/>
      <c r="R57" s="48"/>
      <c r="S57" s="49"/>
      <c r="T57" s="30" t="n">
        <v>0</v>
      </c>
      <c r="U57" s="32" t="n">
        <v>0</v>
      </c>
      <c r="V57" s="41" t="n">
        <f aca="false">SUM(D57,F57,H57,J57,L57,N57,P57,R57,T57)</f>
        <v>0</v>
      </c>
      <c r="W57" s="42" t="n">
        <f aca="false">SUM(E57,G57,I57,K57,M57,O57,Q57,S57,U57)</f>
        <v>0</v>
      </c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</row>
    <row r="58" customFormat="false" ht="16.5" hidden="false" customHeight="true" outlineLevel="0" collapsed="false">
      <c r="A58" s="52"/>
      <c r="B58" s="52"/>
      <c r="C58" s="29" t="s">
        <v>63</v>
      </c>
      <c r="D58" s="37"/>
      <c r="E58" s="39"/>
      <c r="F58" s="37"/>
      <c r="G58" s="40"/>
      <c r="H58" s="48"/>
      <c r="I58" s="51"/>
      <c r="J58" s="48"/>
      <c r="K58" s="32"/>
      <c r="L58" s="30"/>
      <c r="M58" s="31"/>
      <c r="N58" s="30"/>
      <c r="O58" s="31"/>
      <c r="P58" s="48"/>
      <c r="Q58" s="51"/>
      <c r="R58" s="48"/>
      <c r="S58" s="49"/>
      <c r="T58" s="30" t="n">
        <v>0</v>
      </c>
      <c r="U58" s="32" t="n">
        <v>0</v>
      </c>
      <c r="V58" s="41" t="n">
        <f aca="false">SUM(D58,F58,H58,J58,L58,N58,P58,R58,T58)</f>
        <v>0</v>
      </c>
      <c r="W58" s="42" t="n">
        <f aca="false">SUM(E58,G58,I58,K58,M58,O58,Q58,S58,U58)</f>
        <v>0</v>
      </c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</row>
    <row r="59" customFormat="false" ht="16.5" hidden="false" customHeight="true" outlineLevel="0" collapsed="false">
      <c r="A59" s="52"/>
      <c r="B59" s="52"/>
      <c r="C59" s="29" t="s">
        <v>64</v>
      </c>
      <c r="D59" s="37"/>
      <c r="E59" s="39"/>
      <c r="F59" s="37"/>
      <c r="G59" s="40"/>
      <c r="H59" s="48"/>
      <c r="I59" s="51"/>
      <c r="J59" s="48"/>
      <c r="K59" s="32"/>
      <c r="L59" s="30"/>
      <c r="M59" s="31"/>
      <c r="N59" s="30"/>
      <c r="O59" s="31"/>
      <c r="P59" s="48"/>
      <c r="Q59" s="51"/>
      <c r="R59" s="48"/>
      <c r="S59" s="49"/>
      <c r="T59" s="30" t="n">
        <v>0</v>
      </c>
      <c r="U59" s="32" t="n">
        <v>0</v>
      </c>
      <c r="V59" s="41" t="n">
        <f aca="false">SUM(D59,F59,H59,J59,L59,N59,P59,R59,T59)</f>
        <v>0</v>
      </c>
      <c r="W59" s="42" t="n">
        <f aca="false">SUM(E59,G59,I59,K59,M59,O59,Q59,S59,U59)</f>
        <v>0</v>
      </c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</row>
    <row r="60" customFormat="false" ht="16.5" hidden="false" customHeight="true" outlineLevel="0" collapsed="false">
      <c r="A60" s="52"/>
      <c r="B60" s="28"/>
      <c r="C60" s="29" t="s">
        <v>65</v>
      </c>
      <c r="D60" s="37"/>
      <c r="E60" s="39"/>
      <c r="F60" s="37"/>
      <c r="G60" s="40"/>
      <c r="H60" s="48"/>
      <c r="I60" s="51"/>
      <c r="J60" s="48"/>
      <c r="K60" s="32"/>
      <c r="L60" s="30"/>
      <c r="M60" s="31"/>
      <c r="N60" s="30"/>
      <c r="O60" s="31"/>
      <c r="P60" s="48"/>
      <c r="Q60" s="51"/>
      <c r="R60" s="48"/>
      <c r="S60" s="49"/>
      <c r="T60" s="30" t="n">
        <v>0</v>
      </c>
      <c r="U60" s="32" t="n">
        <v>0</v>
      </c>
      <c r="V60" s="41" t="n">
        <f aca="false">SUM(D60,F60,H60,J60,L60,N60,P60,R60,T60)</f>
        <v>0</v>
      </c>
      <c r="W60" s="42" t="n">
        <f aca="false">SUM(E60,G60,I60,K60,M60,O60,Q60,S60,U60)</f>
        <v>0</v>
      </c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</row>
    <row r="61" customFormat="false" ht="16.5" hidden="false" customHeight="true" outlineLevel="0" collapsed="false">
      <c r="A61" s="52"/>
      <c r="B61" s="28" t="s">
        <v>68</v>
      </c>
      <c r="C61" s="29" t="s">
        <v>69</v>
      </c>
      <c r="D61" s="37"/>
      <c r="E61" s="39"/>
      <c r="F61" s="37"/>
      <c r="G61" s="40"/>
      <c r="H61" s="48"/>
      <c r="I61" s="51"/>
      <c r="J61" s="48"/>
      <c r="K61" s="51"/>
      <c r="L61" s="48"/>
      <c r="M61" s="50"/>
      <c r="N61" s="48"/>
      <c r="O61" s="50"/>
      <c r="P61" s="30" t="n">
        <v>0</v>
      </c>
      <c r="Q61" s="32" t="n">
        <v>0</v>
      </c>
      <c r="R61" s="48"/>
      <c r="S61" s="49"/>
      <c r="T61" s="50"/>
      <c r="U61" s="51"/>
      <c r="V61" s="41" t="n">
        <f aca="false">SUM(D61,F61,H61,J61,L61,N61,P61,R61,T61)</f>
        <v>0</v>
      </c>
      <c r="W61" s="42" t="n">
        <f aca="false">SUM(E61,G61,I61,K61,M61,O61,Q61,S61,U61)</f>
        <v>0</v>
      </c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</row>
    <row r="62" customFormat="false" ht="16.5" hidden="false" customHeight="true" outlineLevel="0" collapsed="false">
      <c r="A62" s="52"/>
      <c r="B62" s="28" t="s">
        <v>70</v>
      </c>
      <c r="C62" s="29" t="s">
        <v>71</v>
      </c>
      <c r="D62" s="37"/>
      <c r="E62" s="39"/>
      <c r="F62" s="37"/>
      <c r="G62" s="40"/>
      <c r="H62" s="48"/>
      <c r="I62" s="51"/>
      <c r="J62" s="48"/>
      <c r="K62" s="51"/>
      <c r="L62" s="48"/>
      <c r="M62" s="50"/>
      <c r="N62" s="48"/>
      <c r="O62" s="50"/>
      <c r="P62" s="30" t="n">
        <v>0</v>
      </c>
      <c r="Q62" s="32" t="n">
        <v>0</v>
      </c>
      <c r="R62" s="30" t="n">
        <v>0</v>
      </c>
      <c r="S62" s="32" t="n">
        <v>0</v>
      </c>
      <c r="T62" s="61"/>
      <c r="U62" s="51"/>
      <c r="V62" s="41" t="n">
        <f aca="false">SUM(D62,F62,H62,J62,L62,N62,P62,R62,T62)</f>
        <v>0</v>
      </c>
      <c r="W62" s="42" t="n">
        <f aca="false">SUM(E62,G62,I62,K62,M62,O62,Q62,S62,U62)</f>
        <v>0</v>
      </c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</row>
    <row r="63" customFormat="false" ht="16.5" hidden="false" customHeight="true" outlineLevel="0" collapsed="false">
      <c r="A63" s="52"/>
      <c r="B63" s="28" t="s">
        <v>72</v>
      </c>
      <c r="C63" s="29" t="s">
        <v>73</v>
      </c>
      <c r="D63" s="37"/>
      <c r="E63" s="39"/>
      <c r="F63" s="37"/>
      <c r="G63" s="40"/>
      <c r="H63" s="48"/>
      <c r="I63" s="51"/>
      <c r="J63" s="48"/>
      <c r="K63" s="51"/>
      <c r="L63" s="48"/>
      <c r="M63" s="50"/>
      <c r="N63" s="48"/>
      <c r="O63" s="50"/>
      <c r="P63" s="48"/>
      <c r="Q63" s="51"/>
      <c r="R63" s="30" t="n">
        <v>0</v>
      </c>
      <c r="S63" s="45" t="n">
        <v>0</v>
      </c>
      <c r="T63" s="31"/>
      <c r="U63" s="32"/>
      <c r="V63" s="41" t="n">
        <f aca="false">SUM(D63,F63,H63,J63,L63,N63,P63,R63,T63)</f>
        <v>0</v>
      </c>
      <c r="W63" s="42" t="n">
        <f aca="false">SUM(E63,G63,I63,K63,M63,O63,Q63,S63,U63)</f>
        <v>0</v>
      </c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</row>
    <row r="64" customFormat="false" ht="16.5" hidden="false" customHeight="true" outlineLevel="0" collapsed="false">
      <c r="A64" s="52"/>
      <c r="B64" s="52"/>
      <c r="C64" s="29" t="s">
        <v>74</v>
      </c>
      <c r="D64" s="37"/>
      <c r="E64" s="39"/>
      <c r="F64" s="37"/>
      <c r="G64" s="40"/>
      <c r="H64" s="48"/>
      <c r="I64" s="51"/>
      <c r="J64" s="48"/>
      <c r="K64" s="51"/>
      <c r="L64" s="48"/>
      <c r="M64" s="50"/>
      <c r="N64" s="48"/>
      <c r="O64" s="50"/>
      <c r="P64" s="48"/>
      <c r="Q64" s="51"/>
      <c r="R64" s="30" t="n">
        <v>0</v>
      </c>
      <c r="S64" s="45" t="n">
        <v>0</v>
      </c>
      <c r="T64" s="31"/>
      <c r="U64" s="32"/>
      <c r="V64" s="41" t="n">
        <f aca="false">SUM(D64,F64,H64,J64,L64,N64,P64,R64,T64)</f>
        <v>0</v>
      </c>
      <c r="W64" s="42" t="n">
        <f aca="false">SUM(E64,G64,I64,K64,M64,O64,Q64,S64,U64)</f>
        <v>0</v>
      </c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</row>
    <row r="65" customFormat="false" ht="16.5" hidden="false" customHeight="true" outlineLevel="0" collapsed="false">
      <c r="A65" s="52"/>
      <c r="B65" s="52"/>
      <c r="C65" s="29" t="s">
        <v>75</v>
      </c>
      <c r="D65" s="37"/>
      <c r="E65" s="39"/>
      <c r="F65" s="37"/>
      <c r="G65" s="40"/>
      <c r="H65" s="48"/>
      <c r="I65" s="51"/>
      <c r="J65" s="48"/>
      <c r="K65" s="51"/>
      <c r="L65" s="48"/>
      <c r="M65" s="50"/>
      <c r="N65" s="48"/>
      <c r="O65" s="50"/>
      <c r="P65" s="48"/>
      <c r="Q65" s="51"/>
      <c r="R65" s="30" t="n">
        <v>0</v>
      </c>
      <c r="S65" s="45" t="n">
        <v>0</v>
      </c>
      <c r="T65" s="31"/>
      <c r="U65" s="32"/>
      <c r="V65" s="41" t="n">
        <f aca="false">SUM(D65,F65,H65,J65,L65,N65,P65,R65,T65)</f>
        <v>0</v>
      </c>
      <c r="W65" s="42" t="n">
        <f aca="false">SUM(E65,G65,I65,K65,M65,O65,Q65,S65,U65)</f>
        <v>0</v>
      </c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</row>
    <row r="66" customFormat="false" ht="16.5" hidden="false" customHeight="true" outlineLevel="0" collapsed="false">
      <c r="A66" s="52"/>
      <c r="B66" s="52"/>
      <c r="C66" s="29" t="s">
        <v>76</v>
      </c>
      <c r="D66" s="37"/>
      <c r="E66" s="39"/>
      <c r="F66" s="37"/>
      <c r="G66" s="40"/>
      <c r="H66" s="48"/>
      <c r="I66" s="51"/>
      <c r="J66" s="48"/>
      <c r="K66" s="51"/>
      <c r="L66" s="48"/>
      <c r="M66" s="50"/>
      <c r="N66" s="48"/>
      <c r="O66" s="50"/>
      <c r="P66" s="48"/>
      <c r="Q66" s="51"/>
      <c r="R66" s="30" t="n">
        <v>0</v>
      </c>
      <c r="S66" s="45" t="n">
        <v>0</v>
      </c>
      <c r="T66" s="31"/>
      <c r="U66" s="32"/>
      <c r="V66" s="41" t="n">
        <f aca="false">SUM(D66,F66,H66,J66,L66,N66,P66,R66,T66)</f>
        <v>0</v>
      </c>
      <c r="W66" s="42" t="n">
        <f aca="false">SUM(E66,G66,I66,K66,M66,O66,Q66,S66,U66)</f>
        <v>0</v>
      </c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</row>
    <row r="67" customFormat="false" ht="16.5" hidden="false" customHeight="true" outlineLevel="0" collapsed="false">
      <c r="A67" s="52"/>
      <c r="B67" s="52"/>
      <c r="C67" s="29" t="s">
        <v>77</v>
      </c>
      <c r="D67" s="37"/>
      <c r="E67" s="39"/>
      <c r="F67" s="37"/>
      <c r="G67" s="40"/>
      <c r="H67" s="48"/>
      <c r="I67" s="51"/>
      <c r="J67" s="48"/>
      <c r="K67" s="51"/>
      <c r="L67" s="48"/>
      <c r="M67" s="50"/>
      <c r="N67" s="48"/>
      <c r="O67" s="50"/>
      <c r="P67" s="48"/>
      <c r="Q67" s="51"/>
      <c r="R67" s="30" t="n">
        <v>0</v>
      </c>
      <c r="S67" s="45" t="n">
        <v>0</v>
      </c>
      <c r="T67" s="31"/>
      <c r="U67" s="32"/>
      <c r="V67" s="41" t="n">
        <f aca="false">SUM(D67,F67,H67,J67,L67,N67,P67,R67,T67)</f>
        <v>0</v>
      </c>
      <c r="W67" s="42" t="n">
        <f aca="false">SUM(E67,G67,I67,K67,M67,O67,Q67,S67,U67)</f>
        <v>0</v>
      </c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</row>
    <row r="68" customFormat="false" ht="16.5" hidden="false" customHeight="true" outlineLevel="0" collapsed="false">
      <c r="A68" s="52"/>
      <c r="B68" s="52"/>
      <c r="C68" s="29" t="s">
        <v>78</v>
      </c>
      <c r="D68" s="37"/>
      <c r="E68" s="39"/>
      <c r="F68" s="37"/>
      <c r="G68" s="40"/>
      <c r="H68" s="48"/>
      <c r="I68" s="51"/>
      <c r="J68" s="48"/>
      <c r="K68" s="51"/>
      <c r="L68" s="48"/>
      <c r="M68" s="50"/>
      <c r="N68" s="48"/>
      <c r="O68" s="50"/>
      <c r="P68" s="48"/>
      <c r="Q68" s="51"/>
      <c r="R68" s="30" t="n">
        <v>0</v>
      </c>
      <c r="S68" s="45" t="n">
        <v>0</v>
      </c>
      <c r="T68" s="31"/>
      <c r="U68" s="32"/>
      <c r="V68" s="41" t="n">
        <f aca="false">SUM(D68,F68,H68,J68,L68,N68,P68,R68,T68)</f>
        <v>0</v>
      </c>
      <c r="W68" s="42" t="n">
        <f aca="false">SUM(E68,G68,I68,K68,M68,O68,Q68,S68,U68)</f>
        <v>0</v>
      </c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</row>
    <row r="69" customFormat="false" ht="16.5" hidden="false" customHeight="true" outlineLevel="0" collapsed="false">
      <c r="A69" s="52"/>
      <c r="B69" s="28"/>
      <c r="C69" s="29" t="s">
        <v>79</v>
      </c>
      <c r="D69" s="37"/>
      <c r="E69" s="39"/>
      <c r="F69" s="37"/>
      <c r="G69" s="40"/>
      <c r="H69" s="48"/>
      <c r="I69" s="51"/>
      <c r="J69" s="48"/>
      <c r="K69" s="51"/>
      <c r="L69" s="48"/>
      <c r="M69" s="50"/>
      <c r="N69" s="48"/>
      <c r="O69" s="50"/>
      <c r="P69" s="48"/>
      <c r="Q69" s="51"/>
      <c r="R69" s="30" t="n">
        <v>0</v>
      </c>
      <c r="S69" s="45" t="n">
        <v>0</v>
      </c>
      <c r="T69" s="31"/>
      <c r="U69" s="32"/>
      <c r="V69" s="41" t="n">
        <f aca="false">SUM(D69,F69,H69,J69,L69,N69,P69,R69,T69)</f>
        <v>0</v>
      </c>
      <c r="W69" s="42" t="n">
        <f aca="false">SUM(E69,G69,I69,K69,M69,O69,Q69,S69,U69)</f>
        <v>0</v>
      </c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</row>
    <row r="70" customFormat="false" ht="16.5" hidden="false" customHeight="true" outlineLevel="0" collapsed="false">
      <c r="A70" s="52"/>
      <c r="B70" s="28" t="s">
        <v>80</v>
      </c>
      <c r="C70" s="29" t="s">
        <v>81</v>
      </c>
      <c r="D70" s="37"/>
      <c r="E70" s="39"/>
      <c r="F70" s="37"/>
      <c r="G70" s="40"/>
      <c r="H70" s="48"/>
      <c r="I70" s="51"/>
      <c r="J70" s="48"/>
      <c r="K70" s="51"/>
      <c r="L70" s="48"/>
      <c r="M70" s="50"/>
      <c r="N70" s="48"/>
      <c r="O70" s="50"/>
      <c r="P70" s="48"/>
      <c r="Q70" s="51"/>
      <c r="R70" s="30" t="n">
        <v>0</v>
      </c>
      <c r="S70" s="45" t="n">
        <v>0</v>
      </c>
      <c r="T70" s="31"/>
      <c r="U70" s="32"/>
      <c r="V70" s="41" t="n">
        <f aca="false">SUM(D70,F70,H70,J70,L70,N70,P70,R70,T70)</f>
        <v>0</v>
      </c>
      <c r="W70" s="42" t="n">
        <f aca="false">SUM(E70,G70,I70,K70,M70,O70,Q70,S70,U70)</f>
        <v>0</v>
      </c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</row>
    <row r="71" customFormat="false" ht="16.5" hidden="false" customHeight="true" outlineLevel="0" collapsed="false">
      <c r="A71" s="52"/>
      <c r="B71" s="52"/>
      <c r="C71" s="29" t="s">
        <v>82</v>
      </c>
      <c r="D71" s="37"/>
      <c r="E71" s="39"/>
      <c r="F71" s="37"/>
      <c r="G71" s="40"/>
      <c r="H71" s="48"/>
      <c r="I71" s="51"/>
      <c r="J71" s="48"/>
      <c r="K71" s="51"/>
      <c r="L71" s="48"/>
      <c r="M71" s="50"/>
      <c r="N71" s="48"/>
      <c r="O71" s="50"/>
      <c r="P71" s="48"/>
      <c r="Q71" s="51"/>
      <c r="R71" s="30" t="n">
        <v>0</v>
      </c>
      <c r="S71" s="45" t="n">
        <v>0</v>
      </c>
      <c r="T71" s="31"/>
      <c r="U71" s="32"/>
      <c r="V71" s="41" t="n">
        <f aca="false">SUM(D71,F71,H71,J71,L71,N71,P71,R71,T71)</f>
        <v>0</v>
      </c>
      <c r="W71" s="42" t="n">
        <f aca="false">SUM(E71,G71,I71,K71,M71,O71,Q71,S71,U71)</f>
        <v>0</v>
      </c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</row>
    <row r="72" customFormat="false" ht="16.5" hidden="false" customHeight="true" outlineLevel="0" collapsed="false">
      <c r="A72" s="52"/>
      <c r="B72" s="52"/>
      <c r="C72" s="29" t="s">
        <v>83</v>
      </c>
      <c r="D72" s="37"/>
      <c r="E72" s="39"/>
      <c r="F72" s="37"/>
      <c r="G72" s="40"/>
      <c r="H72" s="48"/>
      <c r="I72" s="51"/>
      <c r="J72" s="48"/>
      <c r="K72" s="51"/>
      <c r="L72" s="48"/>
      <c r="M72" s="50"/>
      <c r="N72" s="48"/>
      <c r="O72" s="50"/>
      <c r="P72" s="48"/>
      <c r="Q72" s="51"/>
      <c r="R72" s="30" t="n">
        <v>0</v>
      </c>
      <c r="S72" s="45" t="n">
        <v>0</v>
      </c>
      <c r="T72" s="31"/>
      <c r="U72" s="32"/>
      <c r="V72" s="41" t="n">
        <f aca="false">SUM(D72,F72,H72,J72,L72,N72,P72,R72,T72)</f>
        <v>0</v>
      </c>
      <c r="W72" s="42" t="n">
        <f aca="false">SUM(E72,G72,I72,K72,M72,O72,Q72,S72,U72)</f>
        <v>0</v>
      </c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</row>
    <row r="73" customFormat="false" ht="16.5" hidden="false" customHeight="true" outlineLevel="0" collapsed="false">
      <c r="A73" s="52"/>
      <c r="B73" s="52"/>
      <c r="C73" s="29" t="s">
        <v>84</v>
      </c>
      <c r="D73" s="37"/>
      <c r="E73" s="39"/>
      <c r="F73" s="37"/>
      <c r="G73" s="40"/>
      <c r="H73" s="48"/>
      <c r="I73" s="51"/>
      <c r="J73" s="48"/>
      <c r="K73" s="51"/>
      <c r="L73" s="48"/>
      <c r="M73" s="50"/>
      <c r="N73" s="48"/>
      <c r="O73" s="50"/>
      <c r="P73" s="48"/>
      <c r="Q73" s="51"/>
      <c r="R73" s="30" t="n">
        <v>0</v>
      </c>
      <c r="S73" s="45" t="n">
        <v>0</v>
      </c>
      <c r="T73" s="31"/>
      <c r="U73" s="32"/>
      <c r="V73" s="41" t="n">
        <f aca="false">SUM(D73,F73,H73,J73,L73,N73,P73,R73,T73)</f>
        <v>0</v>
      </c>
      <c r="W73" s="42" t="n">
        <f aca="false">SUM(E73,G73,I73,K73,M73,O73,Q73,S73,U73)</f>
        <v>0</v>
      </c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</row>
    <row r="74" customFormat="false" ht="16.5" hidden="false" customHeight="true" outlineLevel="0" collapsed="false">
      <c r="A74" s="52"/>
      <c r="B74" s="28"/>
      <c r="C74" s="29" t="s">
        <v>85</v>
      </c>
      <c r="D74" s="37"/>
      <c r="E74" s="39"/>
      <c r="F74" s="37"/>
      <c r="G74" s="40"/>
      <c r="H74" s="48"/>
      <c r="I74" s="51"/>
      <c r="J74" s="48"/>
      <c r="K74" s="51"/>
      <c r="L74" s="48"/>
      <c r="M74" s="50"/>
      <c r="N74" s="48"/>
      <c r="O74" s="50"/>
      <c r="P74" s="48"/>
      <c r="Q74" s="51"/>
      <c r="R74" s="30" t="n">
        <v>0</v>
      </c>
      <c r="S74" s="45" t="n">
        <v>0</v>
      </c>
      <c r="T74" s="31"/>
      <c r="U74" s="32"/>
      <c r="V74" s="41" t="n">
        <f aca="false">SUM(D74,F74,H74,J74,L74,N74,P74,R74,T74)</f>
        <v>0</v>
      </c>
      <c r="W74" s="42" t="n">
        <f aca="false">SUM(E74,G74,I74,K74,M74,O74,Q74,S74,U74)</f>
        <v>0</v>
      </c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</row>
    <row r="75" customFormat="false" ht="16.5" hidden="false" customHeight="true" outlineLevel="0" collapsed="false">
      <c r="A75" s="52"/>
      <c r="B75" s="28" t="s">
        <v>86</v>
      </c>
      <c r="C75" s="47"/>
      <c r="D75" s="37"/>
      <c r="E75" s="39"/>
      <c r="F75" s="37"/>
      <c r="G75" s="40"/>
      <c r="H75" s="30"/>
      <c r="I75" s="32"/>
      <c r="J75" s="30" t="n">
        <v>0</v>
      </c>
      <c r="K75" s="32" t="n">
        <v>0</v>
      </c>
      <c r="L75" s="30"/>
      <c r="M75" s="31"/>
      <c r="N75" s="30"/>
      <c r="O75" s="31"/>
      <c r="P75" s="30"/>
      <c r="Q75" s="32"/>
      <c r="R75" s="30"/>
      <c r="S75" s="59"/>
      <c r="T75" s="30" t="n">
        <v>0</v>
      </c>
      <c r="U75" s="32" t="n">
        <v>0</v>
      </c>
      <c r="V75" s="41" t="n">
        <f aca="false">SUM(D75,F75,H75,J75,L75,N75,P75,R75,T75)</f>
        <v>0</v>
      </c>
      <c r="W75" s="42" t="n">
        <f aca="false">SUM(E75,G75,I75,K75,M75,O75,Q75,S75,U75)</f>
        <v>0</v>
      </c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</row>
    <row r="76" customFormat="false" ht="16.5" hidden="false" customHeight="true" outlineLevel="0" collapsed="false">
      <c r="A76" s="52"/>
      <c r="B76" s="28" t="s">
        <v>87</v>
      </c>
      <c r="C76" s="47"/>
      <c r="D76" s="37"/>
      <c r="E76" s="39"/>
      <c r="F76" s="37"/>
      <c r="G76" s="40"/>
      <c r="H76" s="30" t="n">
        <v>0</v>
      </c>
      <c r="I76" s="32" t="n">
        <v>0</v>
      </c>
      <c r="J76" s="30"/>
      <c r="K76" s="32"/>
      <c r="L76" s="30"/>
      <c r="M76" s="31"/>
      <c r="N76" s="30"/>
      <c r="O76" s="31"/>
      <c r="P76" s="30"/>
      <c r="Q76" s="32"/>
      <c r="R76" s="30"/>
      <c r="S76" s="59"/>
      <c r="T76" s="31" t="n">
        <v>0</v>
      </c>
      <c r="U76" s="32" t="n">
        <v>0</v>
      </c>
      <c r="V76" s="41" t="n">
        <f aca="false">SUM(D76,F76,H76,J76,L76,N76,P76,R76,T76)</f>
        <v>0</v>
      </c>
      <c r="W76" s="42" t="n">
        <f aca="false">SUM(E76,G76,I76,K76,M76,O76,Q76,S76,U76)</f>
        <v>0</v>
      </c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</row>
    <row r="77" customFormat="false" ht="16.5" hidden="false" customHeight="true" outlineLevel="0" collapsed="false">
      <c r="A77" s="52"/>
      <c r="B77" s="28" t="s">
        <v>88</v>
      </c>
      <c r="C77" s="47"/>
      <c r="D77" s="37"/>
      <c r="E77" s="39"/>
      <c r="F77" s="37"/>
      <c r="G77" s="40"/>
      <c r="H77" s="30" t="n">
        <v>0</v>
      </c>
      <c r="I77" s="32" t="n">
        <v>0</v>
      </c>
      <c r="J77" s="30" t="n">
        <v>0</v>
      </c>
      <c r="K77" s="32" t="n">
        <v>0</v>
      </c>
      <c r="L77" s="30"/>
      <c r="M77" s="31"/>
      <c r="N77" s="30"/>
      <c r="O77" s="31"/>
      <c r="P77" s="30" t="n">
        <v>0</v>
      </c>
      <c r="Q77" s="32" t="n">
        <v>0</v>
      </c>
      <c r="R77" s="30" t="n">
        <v>0</v>
      </c>
      <c r="S77" s="59" t="n">
        <v>0</v>
      </c>
      <c r="T77" s="30" t="n">
        <v>0</v>
      </c>
      <c r="U77" s="59" t="n">
        <v>0</v>
      </c>
      <c r="V77" s="41" t="n">
        <f aca="false">SUM(D77,F77,H77,J77,L77,N77,P77,R77,T77)</f>
        <v>0</v>
      </c>
      <c r="W77" s="42" t="n">
        <f aca="false">SUM(E77,G77,I77,K77,M77,O77,Q77,S77,U77)</f>
        <v>0</v>
      </c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</row>
    <row r="78" customFormat="false" ht="16.5" hidden="false" customHeight="true" outlineLevel="0" collapsed="false">
      <c r="A78" s="62" t="s">
        <v>89</v>
      </c>
      <c r="B78" s="63" t="s">
        <v>90</v>
      </c>
      <c r="C78" s="47"/>
      <c r="D78" s="48"/>
      <c r="E78" s="50"/>
      <c r="F78" s="48"/>
      <c r="G78" s="51"/>
      <c r="H78" s="37"/>
      <c r="I78" s="40"/>
      <c r="J78" s="37"/>
      <c r="K78" s="40"/>
      <c r="L78" s="30" t="n">
        <v>0</v>
      </c>
      <c r="M78" s="31" t="n">
        <v>0</v>
      </c>
      <c r="N78" s="30"/>
      <c r="O78" s="31"/>
      <c r="P78" s="48"/>
      <c r="Q78" s="51"/>
      <c r="R78" s="48"/>
      <c r="S78" s="49"/>
      <c r="T78" s="30" t="n">
        <v>0</v>
      </c>
      <c r="U78" s="32" t="n">
        <v>0</v>
      </c>
      <c r="V78" s="41" t="n">
        <f aca="false">SUM(D78,F78,H78,J78,L78,N78,P78,R78,T78)</f>
        <v>0</v>
      </c>
      <c r="W78" s="42" t="n">
        <f aca="false">SUM(E78,G78,I78,K78,M78,O78,Q78,S78,U78)</f>
        <v>0</v>
      </c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</row>
    <row r="79" customFormat="false" ht="16.5" hidden="false" customHeight="true" outlineLevel="0" collapsed="false">
      <c r="A79" s="62"/>
      <c r="B79" s="64" t="s">
        <v>91</v>
      </c>
      <c r="C79" s="47"/>
      <c r="D79" s="30"/>
      <c r="E79" s="31"/>
      <c r="F79" s="30" t="n">
        <v>0</v>
      </c>
      <c r="G79" s="32" t="n">
        <v>0</v>
      </c>
      <c r="H79" s="37"/>
      <c r="I79" s="40"/>
      <c r="J79" s="37"/>
      <c r="K79" s="40"/>
      <c r="L79" s="37"/>
      <c r="M79" s="39"/>
      <c r="N79" s="30" t="n">
        <v>0</v>
      </c>
      <c r="O79" s="32" t="n">
        <v>0</v>
      </c>
      <c r="P79" s="30" t="n">
        <v>0</v>
      </c>
      <c r="Q79" s="32" t="n">
        <v>0</v>
      </c>
      <c r="R79" s="30" t="n">
        <v>0</v>
      </c>
      <c r="S79" s="59" t="n">
        <v>0</v>
      </c>
      <c r="T79" s="39"/>
      <c r="U79" s="40"/>
      <c r="V79" s="41" t="n">
        <f aca="false">SUM(D79,F79,H79,J79,L79,N79,P79,R79,T79)</f>
        <v>0</v>
      </c>
      <c r="W79" s="42" t="n">
        <f aca="false">SUM(E79,G79,I79,K79,M79,O79,Q79,S79,U79)</f>
        <v>0</v>
      </c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</row>
    <row r="80" customFormat="false" ht="16.5" hidden="false" customHeight="true" outlineLevel="0" collapsed="false">
      <c r="A80" s="62"/>
      <c r="B80" s="63" t="s">
        <v>92</v>
      </c>
      <c r="C80" s="29" t="s">
        <v>93</v>
      </c>
      <c r="D80" s="48"/>
      <c r="E80" s="50"/>
      <c r="F80" s="48"/>
      <c r="G80" s="51"/>
      <c r="H80" s="48"/>
      <c r="I80" s="51"/>
      <c r="J80" s="48"/>
      <c r="K80" s="51"/>
      <c r="L80" s="48"/>
      <c r="M80" s="50"/>
      <c r="N80" s="30" t="n">
        <v>0</v>
      </c>
      <c r="O80" s="32" t="n">
        <v>0</v>
      </c>
      <c r="P80" s="30" t="n">
        <v>0</v>
      </c>
      <c r="Q80" s="32" t="n">
        <v>0</v>
      </c>
      <c r="R80" s="48"/>
      <c r="S80" s="49"/>
      <c r="T80" s="50"/>
      <c r="U80" s="51"/>
      <c r="V80" s="41" t="n">
        <f aca="false">SUM(D80,F80,H80,J80,L80,N80,P80,R80,T80)</f>
        <v>0</v>
      </c>
      <c r="W80" s="42" t="n">
        <f aca="false">SUM(E80,G80,I80,K80,M80,O80,Q80,S80,U80)</f>
        <v>0</v>
      </c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</row>
    <row r="81" customFormat="false" ht="16.5" hidden="false" customHeight="true" outlineLevel="0" collapsed="false">
      <c r="A81" s="62"/>
      <c r="B81" s="63"/>
      <c r="C81" s="29" t="s">
        <v>94</v>
      </c>
      <c r="D81" s="48"/>
      <c r="E81" s="50"/>
      <c r="F81" s="48"/>
      <c r="G81" s="51"/>
      <c r="H81" s="48"/>
      <c r="I81" s="51"/>
      <c r="J81" s="48"/>
      <c r="K81" s="51"/>
      <c r="L81" s="48"/>
      <c r="M81" s="50"/>
      <c r="N81" s="30"/>
      <c r="O81" s="31"/>
      <c r="P81" s="48"/>
      <c r="Q81" s="51"/>
      <c r="R81" s="30" t="n">
        <v>0</v>
      </c>
      <c r="S81" s="59" t="n">
        <v>0</v>
      </c>
      <c r="T81" s="31"/>
      <c r="U81" s="32"/>
      <c r="V81" s="41" t="n">
        <f aca="false">SUM(D81,F81,H81,J81,L81,N81,P81,R81,T81)</f>
        <v>0</v>
      </c>
      <c r="W81" s="42" t="n">
        <f aca="false">SUM(E81,G81,I81,K81,M81,O81,Q81,S81,U81)</f>
        <v>0</v>
      </c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</row>
    <row r="82" customFormat="false" ht="16.5" hidden="false" customHeight="true" outlineLevel="0" collapsed="false">
      <c r="A82" s="62"/>
      <c r="B82" s="63"/>
      <c r="C82" s="47"/>
      <c r="D82" s="48"/>
      <c r="E82" s="50"/>
      <c r="F82" s="48"/>
      <c r="G82" s="51"/>
      <c r="H82" s="30" t="n">
        <v>0</v>
      </c>
      <c r="I82" s="32" t="n">
        <v>0</v>
      </c>
      <c r="J82" s="30" t="n">
        <v>0</v>
      </c>
      <c r="K82" s="32" t="n">
        <v>0</v>
      </c>
      <c r="L82" s="30" t="n">
        <v>0</v>
      </c>
      <c r="M82" s="31" t="n">
        <v>0</v>
      </c>
      <c r="N82" s="30" t="n">
        <v>0</v>
      </c>
      <c r="O82" s="31" t="n">
        <v>0</v>
      </c>
      <c r="P82" s="30" t="n">
        <v>0</v>
      </c>
      <c r="Q82" s="32" t="n">
        <v>0</v>
      </c>
      <c r="R82" s="30" t="n">
        <v>0</v>
      </c>
      <c r="S82" s="59" t="n">
        <v>0</v>
      </c>
      <c r="T82" s="31" t="n">
        <v>0</v>
      </c>
      <c r="U82" s="32" t="n">
        <v>0</v>
      </c>
      <c r="V82" s="41" t="n">
        <f aca="false">SUM(D82,F82,H82,J82,L82,N82,P82,R82,T82)</f>
        <v>0</v>
      </c>
      <c r="W82" s="42" t="n">
        <f aca="false">SUM(E82,G82,I82,K82,M82,O82,Q82,S82,U82)</f>
        <v>0</v>
      </c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</row>
    <row r="83" customFormat="false" ht="16.5" hidden="false" customHeight="true" outlineLevel="0" collapsed="false">
      <c r="A83" s="62"/>
      <c r="B83" s="63" t="s">
        <v>95</v>
      </c>
      <c r="C83" s="47"/>
      <c r="D83" s="30"/>
      <c r="E83" s="31"/>
      <c r="F83" s="30" t="n">
        <v>0</v>
      </c>
      <c r="G83" s="32" t="n">
        <v>0</v>
      </c>
      <c r="H83" s="48"/>
      <c r="I83" s="51"/>
      <c r="J83" s="30"/>
      <c r="K83" s="32"/>
      <c r="L83" s="30"/>
      <c r="M83" s="31"/>
      <c r="N83" s="30" t="n">
        <v>0</v>
      </c>
      <c r="O83" s="32" t="n">
        <v>0</v>
      </c>
      <c r="P83" s="30" t="n">
        <v>0</v>
      </c>
      <c r="Q83" s="32" t="n">
        <v>0</v>
      </c>
      <c r="R83" s="30" t="n">
        <v>0</v>
      </c>
      <c r="S83" s="59" t="n">
        <v>0</v>
      </c>
      <c r="T83" s="31"/>
      <c r="U83" s="32"/>
      <c r="V83" s="41" t="n">
        <f aca="false">SUM(D83,F83,H83,J83,L83,N83,P83,R83,T83)</f>
        <v>0</v>
      </c>
      <c r="W83" s="42" t="n">
        <f aca="false">SUM(E83,G83,I83,K83,M83,O83,Q83,S83,U83)</f>
        <v>0</v>
      </c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</row>
    <row r="84" customFormat="false" ht="16.5" hidden="false" customHeight="true" outlineLevel="0" collapsed="false">
      <c r="A84" s="62"/>
      <c r="B84" s="63" t="s">
        <v>96</v>
      </c>
      <c r="C84" s="32"/>
      <c r="D84" s="30"/>
      <c r="E84" s="31"/>
      <c r="F84" s="30" t="n">
        <v>0</v>
      </c>
      <c r="G84" s="32" t="n">
        <v>0</v>
      </c>
      <c r="H84" s="30" t="n">
        <v>0</v>
      </c>
      <c r="I84" s="32" t="n">
        <v>0</v>
      </c>
      <c r="J84" s="30" t="n">
        <v>0</v>
      </c>
      <c r="K84" s="32" t="n">
        <v>0</v>
      </c>
      <c r="L84" s="30" t="n">
        <v>0</v>
      </c>
      <c r="M84" s="32" t="n">
        <v>0</v>
      </c>
      <c r="N84" s="30" t="n">
        <v>0</v>
      </c>
      <c r="O84" s="31" t="n">
        <v>0</v>
      </c>
      <c r="P84" s="30" t="n">
        <v>0</v>
      </c>
      <c r="Q84" s="32" t="n">
        <v>0</v>
      </c>
      <c r="R84" s="30" t="n">
        <v>0</v>
      </c>
      <c r="S84" s="59" t="n">
        <v>0</v>
      </c>
      <c r="T84" s="31" t="n">
        <v>0</v>
      </c>
      <c r="U84" s="32" t="n">
        <v>0</v>
      </c>
      <c r="V84" s="41" t="n">
        <f aca="false">SUM(D84,F84,H84,J84,L84,N84,P84,R84,T84)</f>
        <v>0</v>
      </c>
      <c r="W84" s="42" t="n">
        <f aca="false">SUM(E84,G84,I84,K84,M84,O84,Q84,S84,U84)</f>
        <v>0</v>
      </c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</row>
    <row r="85" customFormat="false" ht="16.5" hidden="false" customHeight="true" outlineLevel="0" collapsed="false">
      <c r="A85" s="62"/>
      <c r="B85" s="65" t="s">
        <v>97</v>
      </c>
      <c r="C85" s="66"/>
      <c r="D85" s="67"/>
      <c r="E85" s="68"/>
      <c r="F85" s="67" t="n">
        <v>0</v>
      </c>
      <c r="G85" s="66" t="n">
        <v>0</v>
      </c>
      <c r="H85" s="67" t="n">
        <v>0</v>
      </c>
      <c r="I85" s="66" t="n">
        <v>0</v>
      </c>
      <c r="J85" s="67" t="n">
        <v>0</v>
      </c>
      <c r="K85" s="66" t="n">
        <v>0</v>
      </c>
      <c r="L85" s="67" t="n">
        <v>0</v>
      </c>
      <c r="M85" s="66" t="n">
        <v>0</v>
      </c>
      <c r="N85" s="67" t="n">
        <v>0</v>
      </c>
      <c r="O85" s="66" t="n">
        <v>0</v>
      </c>
      <c r="P85" s="30" t="n">
        <v>0</v>
      </c>
      <c r="Q85" s="32" t="n">
        <v>0</v>
      </c>
      <c r="R85" s="30" t="n">
        <v>0</v>
      </c>
      <c r="S85" s="59" t="n">
        <v>0</v>
      </c>
      <c r="T85" s="68" t="n">
        <v>0</v>
      </c>
      <c r="U85" s="66" t="n">
        <v>0</v>
      </c>
      <c r="V85" s="41" t="n">
        <f aca="false">SUM(D85,F85,H85,J85,L85,N85,P85,R85,T85)</f>
        <v>0</v>
      </c>
      <c r="W85" s="42" t="n">
        <f aca="false">SUM(E85,G85,I85,K85,M85,O85,Q85,S85,U85)</f>
        <v>0</v>
      </c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</row>
    <row r="86" customFormat="false" ht="22.5" hidden="false" customHeight="true" outlineLevel="0" collapsed="false">
      <c r="A86" s="69" t="s">
        <v>7</v>
      </c>
      <c r="B86" s="69"/>
      <c r="C86" s="69"/>
      <c r="D86" s="70" t="n">
        <f aca="false">D3</f>
        <v>0</v>
      </c>
      <c r="E86" s="71" t="n">
        <f aca="false">E3</f>
        <v>0</v>
      </c>
      <c r="F86" s="70" t="n">
        <f aca="false">F3</f>
        <v>0</v>
      </c>
      <c r="G86" s="71" t="n">
        <f aca="false">G3</f>
        <v>0</v>
      </c>
      <c r="H86" s="70" t="n">
        <f aca="false">H3</f>
        <v>0</v>
      </c>
      <c r="I86" s="71" t="n">
        <f aca="false">I3</f>
        <v>0</v>
      </c>
      <c r="J86" s="70" t="n">
        <f aca="false">J3</f>
        <v>0</v>
      </c>
      <c r="K86" s="71" t="n">
        <f aca="false">K3</f>
        <v>0</v>
      </c>
      <c r="L86" s="70" t="n">
        <f aca="false">L3</f>
        <v>0</v>
      </c>
      <c r="M86" s="72" t="n">
        <f aca="false">M3</f>
        <v>0</v>
      </c>
      <c r="N86" s="70" t="n">
        <f aca="false">N3</f>
        <v>0</v>
      </c>
      <c r="O86" s="72" t="n">
        <f aca="false">O3</f>
        <v>0</v>
      </c>
      <c r="P86" s="70" t="n">
        <f aca="false">P3</f>
        <v>0</v>
      </c>
      <c r="Q86" s="71" t="n">
        <f aca="false">Q3</f>
        <v>0</v>
      </c>
      <c r="R86" s="70" t="n">
        <f aca="false">R3</f>
        <v>0</v>
      </c>
      <c r="S86" s="71" t="n">
        <f aca="false">S3</f>
        <v>0</v>
      </c>
      <c r="T86" s="70" t="n">
        <f aca="false">T3</f>
        <v>0</v>
      </c>
      <c r="U86" s="71" t="n">
        <f aca="false">U3</f>
        <v>0</v>
      </c>
      <c r="V86" s="70" t="n">
        <f aca="false">V3</f>
        <v>0</v>
      </c>
      <c r="W86" s="70" t="n">
        <f aca="false">W3</f>
        <v>0</v>
      </c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</row>
  </sheetData>
  <mergeCells count="29">
    <mergeCell ref="A1:A4"/>
    <mergeCell ref="B1:B4"/>
    <mergeCell ref="C1:C4"/>
    <mergeCell ref="D1:E2"/>
    <mergeCell ref="F1:G2"/>
    <mergeCell ref="H1:O1"/>
    <mergeCell ref="P1:U1"/>
    <mergeCell ref="V1:W2"/>
    <mergeCell ref="H2:I2"/>
    <mergeCell ref="J2:K2"/>
    <mergeCell ref="L2:M2"/>
    <mergeCell ref="N2:O2"/>
    <mergeCell ref="P2:Q2"/>
    <mergeCell ref="R2:S2"/>
    <mergeCell ref="T2:U2"/>
    <mergeCell ref="A5:A13"/>
    <mergeCell ref="B5:B11"/>
    <mergeCell ref="A14:A77"/>
    <mergeCell ref="B14:B25"/>
    <mergeCell ref="B26:B27"/>
    <mergeCell ref="B28:B39"/>
    <mergeCell ref="B40:B46"/>
    <mergeCell ref="B47:B53"/>
    <mergeCell ref="B54:B60"/>
    <mergeCell ref="B63:B69"/>
    <mergeCell ref="B70:B74"/>
    <mergeCell ref="A78:A85"/>
    <mergeCell ref="B80:B82"/>
    <mergeCell ref="A86:C86"/>
  </mergeCells>
  <conditionalFormatting sqref="D5:U86">
    <cfRule type="expression" priority="2" aboveAverage="0" equalAverage="0" bottom="0" percent="0" rank="0" text="" dxfId="0">
      <formula>LEN(TRIM(D5))=0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13"/>
    <col collapsed="false" customWidth="true" hidden="false" outlineLevel="0" max="5" min="5" style="1" width="14.38"/>
  </cols>
  <sheetData>
    <row r="1" customFormat="false" ht="15.75" hidden="false" customHeight="false" outlineLevel="0" collapsed="false">
      <c r="A1" s="73" t="s">
        <v>98</v>
      </c>
      <c r="B1" s="74" t="n">
        <v>0</v>
      </c>
      <c r="C1" s="18"/>
      <c r="D1" s="18"/>
      <c r="E1" s="18"/>
    </row>
    <row r="2" customFormat="false" ht="15.75" hidden="false" customHeight="false" outlineLevel="0" collapsed="false">
      <c r="A2" s="73" t="s">
        <v>32</v>
      </c>
      <c r="B2" s="74" t="n">
        <v>0</v>
      </c>
      <c r="C2" s="18"/>
      <c r="D2" s="18"/>
      <c r="E2" s="18"/>
    </row>
    <row r="3" customFormat="false" ht="15.75" hidden="false" customHeight="false" outlineLevel="0" collapsed="false">
      <c r="A3" s="73" t="s">
        <v>36</v>
      </c>
      <c r="B3" s="74" t="n">
        <v>0</v>
      </c>
      <c r="C3" s="18"/>
      <c r="D3" s="18"/>
      <c r="E3" s="18"/>
    </row>
    <row r="4" customFormat="false" ht="15.75" hidden="false" customHeight="false" outlineLevel="0" collapsed="false">
      <c r="A4" s="73" t="s">
        <v>38</v>
      </c>
      <c r="B4" s="74" t="n">
        <v>0</v>
      </c>
      <c r="C4" s="18"/>
      <c r="D4" s="18"/>
      <c r="E4" s="18"/>
    </row>
    <row r="5" customFormat="false" ht="15.75" hidden="false" customHeight="false" outlineLevel="0" collapsed="false">
      <c r="A5" s="73" t="s">
        <v>99</v>
      </c>
      <c r="B5" s="74" t="n">
        <v>0</v>
      </c>
      <c r="C5" s="18"/>
      <c r="D5" s="18"/>
      <c r="E5" s="18"/>
    </row>
    <row r="6" customFormat="false" ht="15.75" hidden="false" customHeight="false" outlineLevel="0" collapsed="false">
      <c r="A6" s="73" t="s">
        <v>41</v>
      </c>
      <c r="B6" s="74" t="n">
        <v>0</v>
      </c>
      <c r="C6" s="18"/>
      <c r="D6" s="18"/>
      <c r="E6" s="18"/>
    </row>
    <row r="7" customFormat="false" ht="15.75" hidden="false" customHeight="false" outlineLevel="0" collapsed="false">
      <c r="A7" s="73" t="s">
        <v>39</v>
      </c>
      <c r="B7" s="74" t="n">
        <v>0</v>
      </c>
      <c r="C7" s="18"/>
      <c r="D7" s="18"/>
      <c r="E7" s="18"/>
    </row>
    <row r="8" customFormat="false" ht="15.75" hidden="false" customHeight="false" outlineLevel="0" collapsed="false">
      <c r="A8" s="73" t="s">
        <v>48</v>
      </c>
      <c r="B8" s="74" t="n">
        <v>0</v>
      </c>
      <c r="C8" s="18"/>
      <c r="D8" s="18"/>
      <c r="E8" s="18"/>
    </row>
    <row r="9" customFormat="false" ht="15.75" hidden="false" customHeight="false" outlineLevel="0" collapsed="false">
      <c r="A9" s="73" t="s">
        <v>100</v>
      </c>
      <c r="B9" s="74" t="n">
        <v>0</v>
      </c>
      <c r="C9" s="18"/>
      <c r="D9" s="18"/>
      <c r="E9" s="18"/>
    </row>
    <row r="10" customFormat="false" ht="15.75" hidden="false" customHeight="false" outlineLevel="0" collapsed="false">
      <c r="A10" s="73" t="s">
        <v>101</v>
      </c>
      <c r="B10" s="74" t="n">
        <v>0</v>
      </c>
      <c r="C10" s="18"/>
      <c r="D10" s="18"/>
      <c r="E10" s="18"/>
    </row>
    <row r="11" customFormat="false" ht="15.75" hidden="false" customHeight="false" outlineLevel="0" collapsed="false">
      <c r="A11" s="73" t="s">
        <v>102</v>
      </c>
      <c r="B11" s="74" t="n">
        <v>0</v>
      </c>
      <c r="C11" s="18"/>
      <c r="D11" s="18"/>
      <c r="E11" s="18"/>
    </row>
    <row r="12" customFormat="false" ht="15.75" hidden="false" customHeight="false" outlineLevel="0" collapsed="false">
      <c r="A12" s="73" t="s">
        <v>54</v>
      </c>
      <c r="B12" s="74" t="n">
        <v>0</v>
      </c>
      <c r="C12" s="18"/>
      <c r="D12" s="18"/>
      <c r="E12" s="18"/>
    </row>
    <row r="13" customFormat="false" ht="15.75" hidden="false" customHeight="false" outlineLevel="0" collapsed="false">
      <c r="A13" s="73" t="s">
        <v>103</v>
      </c>
      <c r="B13" s="74" t="n">
        <v>0</v>
      </c>
      <c r="C13" s="18"/>
      <c r="D13" s="18"/>
      <c r="E13" s="18"/>
    </row>
    <row r="14" customFormat="false" ht="15.75" hidden="false" customHeight="false" outlineLevel="0" collapsed="false">
      <c r="A14" s="18"/>
      <c r="B14" s="18"/>
      <c r="C14" s="18"/>
      <c r="D14" s="18"/>
      <c r="E14" s="18"/>
    </row>
    <row r="15" customFormat="false" ht="15.75" hidden="false" customHeight="false" outlineLevel="0" collapsed="false">
      <c r="A15" s="75" t="s">
        <v>104</v>
      </c>
      <c r="B15" s="76" t="s">
        <v>105</v>
      </c>
      <c r="C15" s="76" t="s">
        <v>106</v>
      </c>
      <c r="D15" s="76" t="s">
        <v>107</v>
      </c>
      <c r="E15" s="76" t="s">
        <v>108</v>
      </c>
    </row>
    <row r="16" customFormat="false" ht="15.75" hidden="false" customHeight="false" outlineLevel="0" collapsed="false">
      <c r="A16" s="77" t="s">
        <v>98</v>
      </c>
      <c r="B16" s="78" t="n">
        <f aca="false">($B1*Metodologias!B5)</f>
        <v>0</v>
      </c>
      <c r="C16" s="78" t="n">
        <f aca="false">($B1*Metodologias!C5)</f>
        <v>0</v>
      </c>
      <c r="D16" s="79" t="n">
        <f aca="false">ROUND(B16/2, 0)*2</f>
        <v>0</v>
      </c>
      <c r="E16" s="79" t="n">
        <f aca="false">ROUND(C16/2, 0)*2</f>
        <v>0</v>
      </c>
    </row>
    <row r="17" customFormat="false" ht="15.75" hidden="false" customHeight="false" outlineLevel="0" collapsed="false">
      <c r="A17" s="77" t="s">
        <v>31</v>
      </c>
      <c r="B17" s="78" t="n">
        <f aca="false">(Metodologias!B6)</f>
        <v>8</v>
      </c>
      <c r="C17" s="78" t="n">
        <f aca="false">(Metodologias!C6)</f>
        <v>12</v>
      </c>
      <c r="D17" s="79" t="n">
        <f aca="false">ROUND(B17/2, 0)*2</f>
        <v>8</v>
      </c>
      <c r="E17" s="79" t="n">
        <f aca="false">ROUND(C17/2, 0)*2</f>
        <v>12</v>
      </c>
    </row>
    <row r="18" customFormat="false" ht="15.75" hidden="false" customHeight="false" outlineLevel="0" collapsed="false">
      <c r="A18" s="77" t="s">
        <v>32</v>
      </c>
      <c r="B18" s="78" t="n">
        <f aca="false">($B2*Metodologias!B7)</f>
        <v>0</v>
      </c>
      <c r="C18" s="78" t="n">
        <f aca="false">($B2*Metodologias!C7)</f>
        <v>0</v>
      </c>
      <c r="D18" s="79" t="n">
        <f aca="false">ROUND(B18/2, 0)*2</f>
        <v>0</v>
      </c>
      <c r="E18" s="79" t="n">
        <f aca="false">ROUND(C18/2, 0)*2</f>
        <v>0</v>
      </c>
    </row>
    <row r="19" customFormat="false" ht="15.75" hidden="false" customHeight="false" outlineLevel="0" collapsed="false">
      <c r="A19" s="77" t="s">
        <v>109</v>
      </c>
      <c r="B19" s="78" t="n">
        <f aca="false">(Metodologias!B8)</f>
        <v>12</v>
      </c>
      <c r="C19" s="78" t="n">
        <f aca="false">(Metodologias!C8)</f>
        <v>16</v>
      </c>
      <c r="D19" s="79" t="n">
        <f aca="false">ROUND(B19/2, 0)*2</f>
        <v>12</v>
      </c>
      <c r="E19" s="79" t="n">
        <f aca="false">ROUND(C19/2, 0)*2</f>
        <v>16</v>
      </c>
    </row>
    <row r="20" customFormat="false" ht="15.75" hidden="false" customHeight="false" outlineLevel="0" collapsed="false">
      <c r="A20" s="77" t="s">
        <v>35</v>
      </c>
      <c r="B20" s="78" t="n">
        <f aca="false">(Metodologias!B9)</f>
        <v>8</v>
      </c>
      <c r="C20" s="78" t="n">
        <f aca="false">(Metodologias!C9)</f>
        <v>12</v>
      </c>
      <c r="D20" s="79" t="n">
        <f aca="false">ROUND(B20/2, 0)*2</f>
        <v>8</v>
      </c>
      <c r="E20" s="79" t="n">
        <f aca="false">ROUND(C20/2, 0)*2</f>
        <v>12</v>
      </c>
    </row>
    <row r="21" customFormat="false" ht="15.75" hidden="false" customHeight="false" outlineLevel="0" collapsed="false">
      <c r="A21" s="77" t="s">
        <v>110</v>
      </c>
      <c r="B21" s="78" t="n">
        <f aca="false">(Metodologias!B10)</f>
        <v>6</v>
      </c>
      <c r="C21" s="78" t="n">
        <f aca="false">(Metodologias!C10)</f>
        <v>8</v>
      </c>
      <c r="D21" s="79" t="n">
        <f aca="false">ROUND(B21/2, 0)*2</f>
        <v>6</v>
      </c>
      <c r="E21" s="79" t="n">
        <f aca="false">ROUND(C21/2, 0)*2</f>
        <v>8</v>
      </c>
    </row>
    <row r="22" customFormat="false" ht="15.75" hidden="false" customHeight="false" outlineLevel="0" collapsed="false">
      <c r="A22" s="77" t="s">
        <v>36</v>
      </c>
      <c r="B22" s="78" t="n">
        <f aca="false">($B3*Metodologias!B11)</f>
        <v>0</v>
      </c>
      <c r="C22" s="78" t="n">
        <f aca="false">($B3*Metodologias!C11)</f>
        <v>0</v>
      </c>
      <c r="D22" s="79" t="n">
        <f aca="false">ROUND(B22/2, 0)*2</f>
        <v>0</v>
      </c>
      <c r="E22" s="79" t="n">
        <f aca="false">ROUND(C22/2, 0)*2</f>
        <v>0</v>
      </c>
    </row>
    <row r="23" customFormat="false" ht="15.75" hidden="false" customHeight="false" outlineLevel="0" collapsed="false">
      <c r="A23" s="77" t="s">
        <v>37</v>
      </c>
      <c r="B23" s="78" t="n">
        <f aca="false">(Metodologias!B12)</f>
        <v>16</v>
      </c>
      <c r="C23" s="78" t="n">
        <f aca="false">(Metodologias!C12)</f>
        <v>20</v>
      </c>
      <c r="D23" s="79" t="n">
        <f aca="false">ROUND(B23/2, 0)*2</f>
        <v>16</v>
      </c>
      <c r="E23" s="79" t="n">
        <f aca="false">ROUND(C23/2, 0)*2</f>
        <v>20</v>
      </c>
    </row>
    <row r="24" customFormat="false" ht="15.75" hidden="false" customHeight="false" outlineLevel="0" collapsed="false">
      <c r="A24" s="77" t="s">
        <v>111</v>
      </c>
      <c r="B24" s="78" t="n">
        <f aca="false">(Metodologias!B13)</f>
        <v>12</v>
      </c>
      <c r="C24" s="78" t="n">
        <f aca="false">(Metodologias!C13)</f>
        <v>18</v>
      </c>
      <c r="D24" s="79" t="n">
        <f aca="false">ROUND(B24/2, 0)*2</f>
        <v>12</v>
      </c>
      <c r="E24" s="79" t="n">
        <f aca="false">ROUND(C24/2, 0)*2</f>
        <v>18</v>
      </c>
    </row>
    <row r="25" customFormat="false" ht="15.75" hidden="false" customHeight="false" outlineLevel="0" collapsed="false">
      <c r="A25" s="77" t="s">
        <v>38</v>
      </c>
      <c r="B25" s="78" t="n">
        <f aca="false">($B4*Metodologias!B14)</f>
        <v>0</v>
      </c>
      <c r="C25" s="78" t="n">
        <f aca="false">($B4*Metodologias!C14)</f>
        <v>0</v>
      </c>
      <c r="D25" s="79" t="n">
        <f aca="false">ROUND(B25/2, 0)*2</f>
        <v>0</v>
      </c>
      <c r="E25" s="79" t="n">
        <f aca="false">ROUND(C25/2, 0)*2</f>
        <v>0</v>
      </c>
    </row>
    <row r="26" customFormat="false" ht="15.75" hidden="false" customHeight="false" outlineLevel="0" collapsed="false">
      <c r="A26" s="77" t="s">
        <v>44</v>
      </c>
      <c r="B26" s="78" t="n">
        <f aca="false">($B5*Metodologias!B15)</f>
        <v>0</v>
      </c>
      <c r="C26" s="78" t="n">
        <f aca="false">($B5*Metodologias!C15)</f>
        <v>0</v>
      </c>
      <c r="D26" s="79" t="n">
        <f aca="false">ROUND(B26/2, 0)*2</f>
        <v>0</v>
      </c>
      <c r="E26" s="79" t="n">
        <f aca="false">ROUND(C26/2, 0)*2</f>
        <v>0</v>
      </c>
    </row>
    <row r="27" customFormat="false" ht="15.75" hidden="false" customHeight="false" outlineLevel="0" collapsed="false">
      <c r="A27" s="77" t="s">
        <v>41</v>
      </c>
      <c r="B27" s="78" t="n">
        <f aca="false">($B6*Metodologias!B16)</f>
        <v>0</v>
      </c>
      <c r="C27" s="78" t="n">
        <f aca="false">($B6*Metodologias!C16)</f>
        <v>0</v>
      </c>
      <c r="D27" s="79" t="n">
        <f aca="false">ROUND(B27/2, 0)*2</f>
        <v>0</v>
      </c>
      <c r="E27" s="79" t="n">
        <f aca="false">ROUND(C27/2, 0)*2</f>
        <v>0</v>
      </c>
    </row>
    <row r="28" customFormat="false" ht="15.75" hidden="false" customHeight="false" outlineLevel="0" collapsed="false">
      <c r="A28" s="80" t="s">
        <v>39</v>
      </c>
      <c r="B28" s="81" t="n">
        <f aca="false">($B7*Metodologias!B17)</f>
        <v>0</v>
      </c>
      <c r="C28" s="81" t="n">
        <f aca="false">($B7*Metodologias!C17)</f>
        <v>0</v>
      </c>
      <c r="D28" s="82" t="n">
        <f aca="false">ROUND(B28/2, 0)*2</f>
        <v>0</v>
      </c>
      <c r="E28" s="82" t="n">
        <f aca="false">ROUND(C28/2, 0)*2</f>
        <v>0</v>
      </c>
    </row>
    <row r="29" customFormat="false" ht="15.75" hidden="false" customHeight="false" outlineLevel="0" collapsed="false">
      <c r="A29" s="83" t="s">
        <v>112</v>
      </c>
      <c r="B29" s="84" t="n">
        <f aca="false">(Metodologias!B18)</f>
        <v>6</v>
      </c>
      <c r="C29" s="84" t="n">
        <f aca="false">(Metodologias!C18)</f>
        <v>8</v>
      </c>
      <c r="D29" s="85" t="n">
        <f aca="false">ROUND(B29/2, 0)*2</f>
        <v>6</v>
      </c>
      <c r="E29" s="85" t="n">
        <f aca="false">ROUND(C29/2, 0)*2</f>
        <v>8</v>
      </c>
    </row>
    <row r="30" customFormat="false" ht="15.75" hidden="false" customHeight="false" outlineLevel="0" collapsed="false">
      <c r="A30" s="77" t="s">
        <v>48</v>
      </c>
      <c r="B30" s="78" t="n">
        <f aca="false">($B8*Metodologias!B19)</f>
        <v>0</v>
      </c>
      <c r="C30" s="78" t="n">
        <f aca="false">($B8*Metodologias!C19)</f>
        <v>0</v>
      </c>
      <c r="D30" s="79" t="n">
        <f aca="false">ROUND(B30/2, 0)*2</f>
        <v>0</v>
      </c>
      <c r="E30" s="79" t="n">
        <f aca="false">ROUND(C30/2, 0)*2</f>
        <v>0</v>
      </c>
    </row>
    <row r="31" customFormat="false" ht="15.75" hidden="false" customHeight="false" outlineLevel="0" collapsed="false">
      <c r="A31" s="77" t="s">
        <v>49</v>
      </c>
      <c r="B31" s="78" t="n">
        <f aca="false">($B9*Metodologias!B20)</f>
        <v>0</v>
      </c>
      <c r="C31" s="78" t="n">
        <f aca="false">($B9*Metodologias!C20)</f>
        <v>0</v>
      </c>
      <c r="D31" s="79" t="n">
        <f aca="false">ROUND(B31/2, 0)*2</f>
        <v>0</v>
      </c>
      <c r="E31" s="79" t="n">
        <f aca="false">ROUND(C31/2, 0)*2</f>
        <v>0</v>
      </c>
    </row>
    <row r="32" customFormat="false" ht="15.75" hidden="false" customHeight="false" outlineLevel="0" collapsed="false">
      <c r="A32" s="77" t="s">
        <v>113</v>
      </c>
      <c r="B32" s="78" t="n">
        <f aca="false">($B10*Metodologias!B21)</f>
        <v>0</v>
      </c>
      <c r="C32" s="78" t="n">
        <f aca="false">($B10*Metodologias!C21)</f>
        <v>0</v>
      </c>
      <c r="D32" s="79" t="n">
        <f aca="false">ROUND(B32/2, 0)*2</f>
        <v>0</v>
      </c>
      <c r="E32" s="79" t="n">
        <f aca="false">ROUND(C32/2, 0)*2</f>
        <v>0</v>
      </c>
    </row>
    <row r="33" customFormat="false" ht="15.75" hidden="false" customHeight="false" outlineLevel="0" collapsed="false">
      <c r="A33" s="77" t="s">
        <v>51</v>
      </c>
      <c r="B33" s="78" t="n">
        <f aca="false">($B11*Metodologias!B22)</f>
        <v>0</v>
      </c>
      <c r="C33" s="78" t="n">
        <f aca="false">($B11*Metodologias!C22)</f>
        <v>0</v>
      </c>
      <c r="D33" s="79" t="n">
        <f aca="false">ROUND(B33/2, 0)*2</f>
        <v>0</v>
      </c>
      <c r="E33" s="79" t="n">
        <f aca="false">ROUND(C33/2, 0)*2</f>
        <v>0</v>
      </c>
    </row>
    <row r="34" customFormat="false" ht="15.75" hidden="false" customHeight="false" outlineLevel="0" collapsed="false">
      <c r="A34" s="77" t="s">
        <v>114</v>
      </c>
      <c r="B34" s="78" t="n">
        <f aca="false">($B12*Metodologias!B23)</f>
        <v>0</v>
      </c>
      <c r="C34" s="78" t="n">
        <f aca="false">($B12*Metodologias!C23)</f>
        <v>0</v>
      </c>
      <c r="D34" s="79" t="n">
        <f aca="false">ROUND(B34/2, 0)*2</f>
        <v>0</v>
      </c>
      <c r="E34" s="79" t="n">
        <f aca="false">ROUND(C34/2, 0)*2</f>
        <v>0</v>
      </c>
    </row>
    <row r="35" customFormat="false" ht="15.75" hidden="false" customHeight="false" outlineLevel="0" collapsed="false">
      <c r="A35" s="77" t="s">
        <v>52</v>
      </c>
      <c r="B35" s="78" t="n">
        <f aca="false">(Metodologias!B24)</f>
        <v>8</v>
      </c>
      <c r="C35" s="78" t="n">
        <f aca="false">(Metodologias!C24)</f>
        <v>12</v>
      </c>
      <c r="D35" s="79" t="n">
        <f aca="false">ROUND(B35/2, 0)*2</f>
        <v>8</v>
      </c>
      <c r="E35" s="79" t="n">
        <f aca="false">ROUND(C35/2, 0)*2</f>
        <v>12</v>
      </c>
    </row>
    <row r="36" customFormat="false" ht="15.75" hidden="false" customHeight="false" outlineLevel="0" collapsed="false">
      <c r="A36" s="77" t="s">
        <v>53</v>
      </c>
      <c r="B36" s="78" t="n">
        <f aca="false">(Metodologias!B25)</f>
        <v>2</v>
      </c>
      <c r="C36" s="78" t="n">
        <f aca="false">(Metodologias!C25)</f>
        <v>4</v>
      </c>
      <c r="D36" s="79" t="n">
        <f aca="false">ROUND(B36/2, 0)*2</f>
        <v>2</v>
      </c>
      <c r="E36" s="79" t="n">
        <f aca="false">ROUND(C36/2, 0)*2</f>
        <v>4</v>
      </c>
    </row>
    <row r="37" customFormat="false" ht="15.75" hidden="false" customHeight="false" outlineLevel="0" collapsed="false">
      <c r="A37" s="77" t="s">
        <v>55</v>
      </c>
      <c r="B37" s="78" t="n">
        <f aca="false">(Metodologias!B26)</f>
        <v>2</v>
      </c>
      <c r="C37" s="78" t="n">
        <f aca="false">(Metodologias!C26)</f>
        <v>4</v>
      </c>
      <c r="D37" s="79" t="n">
        <f aca="false">ROUND(B37/2, 0)*2</f>
        <v>2</v>
      </c>
      <c r="E37" s="79" t="n">
        <f aca="false">ROUND(C37/2, 0)*2</f>
        <v>4</v>
      </c>
    </row>
    <row r="38" customFormat="false" ht="15.75" hidden="false" customHeight="false" outlineLevel="0" collapsed="false">
      <c r="A38" s="77" t="s">
        <v>115</v>
      </c>
      <c r="B38" s="78" t="n">
        <f aca="false">(Metodologias!B27)</f>
        <v>4</v>
      </c>
      <c r="C38" s="78" t="n">
        <f aca="false">(Metodologias!C27)</f>
        <v>6</v>
      </c>
      <c r="D38" s="79" t="n">
        <f aca="false">ROUND(B38/2, 0)*2</f>
        <v>4</v>
      </c>
      <c r="E38" s="79" t="n">
        <f aca="false">ROUND(C38/2, 0)*2</f>
        <v>6</v>
      </c>
    </row>
    <row r="39" customFormat="false" ht="15.75" hidden="false" customHeight="false" outlineLevel="0" collapsed="false">
      <c r="A39" s="80" t="s">
        <v>57</v>
      </c>
      <c r="B39" s="81" t="n">
        <f aca="false">(Metodologias!B28)</f>
        <v>4</v>
      </c>
      <c r="C39" s="81" t="n">
        <f aca="false">(Metodologias!C28)</f>
        <v>12</v>
      </c>
      <c r="D39" s="82" t="n">
        <f aca="false">ROUND(B39/2, 0)*2</f>
        <v>4</v>
      </c>
      <c r="E39" s="82" t="n">
        <f aca="false">ROUND(C39/2, 0)*2</f>
        <v>12</v>
      </c>
    </row>
    <row r="40" customFormat="false" ht="15.75" hidden="false" customHeight="false" outlineLevel="0" collapsed="false">
      <c r="A40" s="83" t="s">
        <v>70</v>
      </c>
      <c r="B40" s="84" t="n">
        <f aca="false">(Metodologias!B29)</f>
        <v>16</v>
      </c>
      <c r="C40" s="84" t="n">
        <f aca="false">(Metodologias!C29)</f>
        <v>24</v>
      </c>
      <c r="D40" s="85" t="n">
        <f aca="false">ROUND(B40/2, 0)*2</f>
        <v>16</v>
      </c>
      <c r="E40" s="85" t="n">
        <f aca="false">ROUND(C40/2, 0)*2</f>
        <v>24</v>
      </c>
    </row>
    <row r="41" customFormat="false" ht="15.75" hidden="false" customHeight="false" outlineLevel="0" collapsed="false">
      <c r="A41" s="77" t="s">
        <v>103</v>
      </c>
      <c r="B41" s="78" t="n">
        <f aca="false">($B13*Metodologias!B30)</f>
        <v>0</v>
      </c>
      <c r="C41" s="78" t="n">
        <f aca="false">($B13*Metodologias!C30)</f>
        <v>0</v>
      </c>
      <c r="D41" s="79" t="n">
        <f aca="false">ROUND(B41/2, 0)*2</f>
        <v>0</v>
      </c>
      <c r="E41" s="79" t="n">
        <f aca="false">ROUND(C41/2, 0)*2</f>
        <v>0</v>
      </c>
    </row>
    <row r="42" customFormat="false" ht="15.75" hidden="false" customHeight="false" outlineLevel="0" collapsed="false">
      <c r="A42" s="86" t="s">
        <v>7</v>
      </c>
      <c r="B42" s="87" t="n">
        <f aca="false">SUM(B16:B41)</f>
        <v>104</v>
      </c>
      <c r="C42" s="87" t="n">
        <f aca="false">SUM(C16:C41)</f>
        <v>156</v>
      </c>
      <c r="D42" s="88" t="n">
        <f aca="false">SUM(D16:D41)</f>
        <v>104</v>
      </c>
      <c r="E42" s="88" t="n">
        <f aca="false">SUM(E16:E41)</f>
        <v>156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13"/>
  </cols>
  <sheetData>
    <row r="1" customFormat="false" ht="15.75" hidden="false" customHeight="false" outlineLevel="0" collapsed="false">
      <c r="A1" s="89" t="s">
        <v>116</v>
      </c>
      <c r="B1" s="90" t="s">
        <v>117</v>
      </c>
      <c r="C1" s="90" t="s">
        <v>118</v>
      </c>
    </row>
    <row r="2" customFormat="false" ht="15.75" hidden="false" customHeight="false" outlineLevel="0" collapsed="false">
      <c r="A2" s="91" t="s">
        <v>21</v>
      </c>
      <c r="B2" s="8" t="n">
        <v>2</v>
      </c>
      <c r="C2" s="8" t="n">
        <v>4</v>
      </c>
    </row>
    <row r="3" customFormat="false" ht="15.75" hidden="false" customHeight="false" outlineLevel="0" collapsed="false">
      <c r="A3" s="91" t="s">
        <v>119</v>
      </c>
      <c r="B3" s="8" t="n">
        <v>4</v>
      </c>
      <c r="C3" s="8" t="n">
        <v>6</v>
      </c>
    </row>
    <row r="4" customFormat="false" ht="15.75" hidden="false" customHeight="false" outlineLevel="0" collapsed="false">
      <c r="A4" s="91" t="s">
        <v>23</v>
      </c>
      <c r="B4" s="8" t="n">
        <v>1</v>
      </c>
      <c r="C4" s="8" t="n">
        <v>2</v>
      </c>
    </row>
    <row r="5" customFormat="false" ht="15.75" hidden="false" customHeight="false" outlineLevel="0" collapsed="false">
      <c r="A5" s="91" t="s">
        <v>98</v>
      </c>
      <c r="B5" s="8" t="n">
        <v>4</v>
      </c>
      <c r="C5" s="8" t="n">
        <v>6</v>
      </c>
    </row>
    <row r="6" customFormat="false" ht="15.75" hidden="false" customHeight="false" outlineLevel="0" collapsed="false">
      <c r="A6" s="91" t="s">
        <v>31</v>
      </c>
      <c r="B6" s="8" t="n">
        <v>8</v>
      </c>
      <c r="C6" s="8" t="n">
        <v>12</v>
      </c>
    </row>
    <row r="7" customFormat="false" ht="15.75" hidden="false" customHeight="false" outlineLevel="0" collapsed="false">
      <c r="A7" s="91" t="s">
        <v>32</v>
      </c>
      <c r="B7" s="8" t="n">
        <v>4</v>
      </c>
      <c r="C7" s="8" t="n">
        <v>6</v>
      </c>
    </row>
    <row r="8" customFormat="false" ht="15.75" hidden="false" customHeight="false" outlineLevel="0" collapsed="false">
      <c r="A8" s="91" t="s">
        <v>109</v>
      </c>
      <c r="B8" s="8" t="n">
        <v>12</v>
      </c>
      <c r="C8" s="8" t="n">
        <v>16</v>
      </c>
    </row>
    <row r="9" customFormat="false" ht="15.75" hidden="false" customHeight="false" outlineLevel="0" collapsed="false">
      <c r="A9" s="91" t="s">
        <v>35</v>
      </c>
      <c r="B9" s="8" t="n">
        <v>8</v>
      </c>
      <c r="C9" s="8" t="n">
        <v>12</v>
      </c>
    </row>
    <row r="10" customFormat="false" ht="15.75" hidden="false" customHeight="false" outlineLevel="0" collapsed="false">
      <c r="A10" s="91" t="s">
        <v>110</v>
      </c>
      <c r="B10" s="8" t="n">
        <v>6</v>
      </c>
      <c r="C10" s="8" t="n">
        <v>8</v>
      </c>
    </row>
    <row r="11" customFormat="false" ht="15.75" hidden="false" customHeight="false" outlineLevel="0" collapsed="false">
      <c r="A11" s="91" t="s">
        <v>36</v>
      </c>
      <c r="B11" s="8" t="n">
        <v>4</v>
      </c>
      <c r="C11" s="8" t="n">
        <v>6</v>
      </c>
    </row>
    <row r="12" customFormat="false" ht="15.75" hidden="false" customHeight="false" outlineLevel="0" collapsed="false">
      <c r="A12" s="91" t="s">
        <v>37</v>
      </c>
      <c r="B12" s="8" t="n">
        <v>16</v>
      </c>
      <c r="C12" s="8" t="n">
        <v>20</v>
      </c>
    </row>
    <row r="13" customFormat="false" ht="15.75" hidden="false" customHeight="false" outlineLevel="0" collapsed="false">
      <c r="A13" s="91" t="s">
        <v>111</v>
      </c>
      <c r="B13" s="8" t="n">
        <v>12</v>
      </c>
      <c r="C13" s="8" t="n">
        <v>18</v>
      </c>
    </row>
    <row r="14" customFormat="false" ht="15.75" hidden="false" customHeight="false" outlineLevel="0" collapsed="false">
      <c r="A14" s="91" t="s">
        <v>38</v>
      </c>
      <c r="B14" s="8" t="n">
        <v>6</v>
      </c>
      <c r="C14" s="8" t="n">
        <v>8</v>
      </c>
    </row>
    <row r="15" customFormat="false" ht="15.75" hidden="false" customHeight="false" outlineLevel="0" collapsed="false">
      <c r="A15" s="91" t="s">
        <v>44</v>
      </c>
      <c r="B15" s="8" t="n">
        <v>4</v>
      </c>
      <c r="C15" s="8" t="n">
        <v>8</v>
      </c>
    </row>
    <row r="16" customFormat="false" ht="15.75" hidden="false" customHeight="false" outlineLevel="0" collapsed="false">
      <c r="A16" s="91" t="s">
        <v>41</v>
      </c>
      <c r="B16" s="8" t="n">
        <v>4</v>
      </c>
      <c r="C16" s="8" t="n">
        <v>6</v>
      </c>
    </row>
    <row r="17" customFormat="false" ht="15.75" hidden="false" customHeight="false" outlineLevel="0" collapsed="false">
      <c r="A17" s="91" t="s">
        <v>39</v>
      </c>
      <c r="B17" s="8" t="n">
        <v>12</v>
      </c>
      <c r="C17" s="8" t="n">
        <v>20</v>
      </c>
    </row>
    <row r="18" customFormat="false" ht="15.75" hidden="false" customHeight="false" outlineLevel="0" collapsed="false">
      <c r="A18" s="91" t="s">
        <v>112</v>
      </c>
      <c r="B18" s="8" t="n">
        <v>6</v>
      </c>
      <c r="C18" s="8" t="n">
        <v>8</v>
      </c>
    </row>
    <row r="19" customFormat="false" ht="15.75" hidden="false" customHeight="false" outlineLevel="0" collapsed="false">
      <c r="A19" s="91" t="s">
        <v>48</v>
      </c>
      <c r="B19" s="8" t="n">
        <v>2</v>
      </c>
      <c r="C19" s="8" t="n">
        <v>4</v>
      </c>
    </row>
    <row r="20" customFormat="false" ht="15.75" hidden="false" customHeight="false" outlineLevel="0" collapsed="false">
      <c r="A20" s="91" t="s">
        <v>49</v>
      </c>
      <c r="B20" s="8" t="n">
        <v>1</v>
      </c>
      <c r="C20" s="8" t="n">
        <v>2</v>
      </c>
    </row>
    <row r="21" customFormat="false" ht="15.75" hidden="false" customHeight="false" outlineLevel="0" collapsed="false">
      <c r="A21" s="91" t="s">
        <v>113</v>
      </c>
      <c r="B21" s="8" t="n">
        <v>2</v>
      </c>
      <c r="C21" s="8" t="n">
        <v>4</v>
      </c>
    </row>
    <row r="22" customFormat="false" ht="15.75" hidden="false" customHeight="false" outlineLevel="0" collapsed="false">
      <c r="A22" s="91" t="s">
        <v>51</v>
      </c>
      <c r="B22" s="8" t="n">
        <v>4</v>
      </c>
      <c r="C22" s="8" t="n">
        <v>6</v>
      </c>
    </row>
    <row r="23" customFormat="false" ht="15.75" hidden="false" customHeight="false" outlineLevel="0" collapsed="false">
      <c r="A23" s="91" t="s">
        <v>114</v>
      </c>
      <c r="B23" s="8" t="n">
        <v>4</v>
      </c>
      <c r="C23" s="8" t="n">
        <v>6</v>
      </c>
    </row>
    <row r="24" customFormat="false" ht="15.75" hidden="false" customHeight="false" outlineLevel="0" collapsed="false">
      <c r="A24" s="91" t="s">
        <v>52</v>
      </c>
      <c r="B24" s="8" t="n">
        <v>8</v>
      </c>
      <c r="C24" s="8" t="n">
        <v>12</v>
      </c>
    </row>
    <row r="25" customFormat="false" ht="15.75" hidden="false" customHeight="false" outlineLevel="0" collapsed="false">
      <c r="A25" s="91" t="s">
        <v>53</v>
      </c>
      <c r="B25" s="8" t="n">
        <v>2</v>
      </c>
      <c r="C25" s="8" t="n">
        <v>4</v>
      </c>
    </row>
    <row r="26" customFormat="false" ht="15.75" hidden="false" customHeight="false" outlineLevel="0" collapsed="false">
      <c r="A26" s="91" t="s">
        <v>55</v>
      </c>
      <c r="B26" s="8" t="n">
        <v>2</v>
      </c>
      <c r="C26" s="8" t="n">
        <v>4</v>
      </c>
    </row>
    <row r="27" customFormat="false" ht="15.75" hidden="false" customHeight="false" outlineLevel="0" collapsed="false">
      <c r="A27" s="91" t="s">
        <v>115</v>
      </c>
      <c r="B27" s="8" t="n">
        <v>4</v>
      </c>
      <c r="C27" s="8" t="n">
        <v>6</v>
      </c>
    </row>
    <row r="28" customFormat="false" ht="15.75" hidden="false" customHeight="false" outlineLevel="0" collapsed="false">
      <c r="A28" s="91" t="s">
        <v>57</v>
      </c>
      <c r="B28" s="8" t="n">
        <v>4</v>
      </c>
      <c r="C28" s="8" t="n">
        <v>12</v>
      </c>
    </row>
    <row r="29" customFormat="false" ht="15.75" hidden="false" customHeight="false" outlineLevel="0" collapsed="false">
      <c r="A29" s="91" t="s">
        <v>70</v>
      </c>
      <c r="B29" s="8" t="n">
        <v>16</v>
      </c>
      <c r="C29" s="8" t="n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2.38"/>
    <col collapsed="false" customWidth="true" hidden="false" outlineLevel="0" max="2" min="2" style="1" width="10"/>
    <col collapsed="false" customWidth="true" hidden="false" outlineLevel="0" max="3" min="3" style="1" width="23.63"/>
    <col collapsed="false" customWidth="true" hidden="false" outlineLevel="0" max="6" min="6" style="1" width="17.75"/>
    <col collapsed="false" customWidth="true" hidden="false" outlineLevel="0" max="7" min="7" style="1" width="18.13"/>
  </cols>
  <sheetData>
    <row r="1" customFormat="false" ht="15.75" hidden="false" customHeight="false" outlineLevel="0" collapsed="false">
      <c r="A1" s="92"/>
      <c r="B1" s="92"/>
      <c r="C1" s="92"/>
      <c r="D1" s="93" t="s">
        <v>105</v>
      </c>
      <c r="E1" s="93" t="s">
        <v>106</v>
      </c>
      <c r="F1" s="94" t="s">
        <v>120</v>
      </c>
      <c r="G1" s="18"/>
    </row>
    <row r="2" customFormat="false" ht="15.75" hidden="true" customHeight="false" outlineLevel="0" collapsed="false">
      <c r="A2" s="92"/>
      <c r="B2" s="92"/>
      <c r="C2" s="95" t="s">
        <v>121</v>
      </c>
      <c r="D2" s="96" t="n">
        <v>0.05</v>
      </c>
      <c r="E2" s="96" t="n">
        <v>0.05</v>
      </c>
      <c r="F2" s="18"/>
      <c r="G2" s="18"/>
    </row>
    <row r="3" customFormat="false" ht="15.75" hidden="false" customHeight="false" outlineLevel="0" collapsed="false">
      <c r="A3" s="97" t="s">
        <v>122</v>
      </c>
      <c r="B3" s="98" t="s">
        <v>123</v>
      </c>
      <c r="C3" s="97" t="s">
        <v>124</v>
      </c>
      <c r="D3" s="99" t="n">
        <v>2</v>
      </c>
      <c r="E3" s="99" t="n">
        <v>4</v>
      </c>
      <c r="F3" s="100" t="n">
        <v>2</v>
      </c>
      <c r="G3" s="18"/>
    </row>
    <row r="4" customFormat="false" ht="15.75" hidden="false" customHeight="false" outlineLevel="0" collapsed="false">
      <c r="A4" s="94" t="s">
        <v>125</v>
      </c>
      <c r="B4" s="100" t="n">
        <f aca="false">COUNTIF(Desglose!B2:B999,"P1")</f>
        <v>0</v>
      </c>
      <c r="C4" s="101" t="s">
        <v>126</v>
      </c>
      <c r="D4" s="100" t="n">
        <v>1</v>
      </c>
      <c r="E4" s="100" t="n">
        <v>2</v>
      </c>
      <c r="F4" s="18"/>
      <c r="G4" s="18"/>
    </row>
    <row r="5" customFormat="false" ht="15.75" hidden="false" customHeight="false" outlineLevel="0" collapsed="false">
      <c r="A5" s="94" t="s">
        <v>127</v>
      </c>
      <c r="B5" s="100" t="n">
        <f aca="false">COUNTIF(Desglose!B2:B1000,"P2")</f>
        <v>0</v>
      </c>
      <c r="C5" s="101" t="s">
        <v>128</v>
      </c>
      <c r="D5" s="100" t="n">
        <v>2</v>
      </c>
      <c r="E5" s="100" t="n">
        <v>3</v>
      </c>
      <c r="F5" s="18"/>
      <c r="G5" s="18"/>
    </row>
    <row r="6" customFormat="false" ht="15.75" hidden="false" customHeight="false" outlineLevel="0" collapsed="false">
      <c r="A6" s="94" t="s">
        <v>129</v>
      </c>
      <c r="B6" s="100" t="n">
        <f aca="false">COUNTIF(Desglose!B2:B1001,"P3")</f>
        <v>0</v>
      </c>
      <c r="C6" s="101" t="s">
        <v>130</v>
      </c>
      <c r="D6" s="100" t="n">
        <v>4</v>
      </c>
      <c r="E6" s="100" t="n">
        <v>6</v>
      </c>
      <c r="F6" s="18"/>
      <c r="G6" s="18"/>
    </row>
    <row r="7" customFormat="false" ht="15.75" hidden="false" customHeight="false" outlineLevel="0" collapsed="false">
      <c r="A7" s="94" t="s">
        <v>131</v>
      </c>
      <c r="B7" s="100" t="n">
        <f aca="false">COUNTIF(Desglose!B2:B1002,"P4")</f>
        <v>0</v>
      </c>
      <c r="C7" s="101" t="s">
        <v>132</v>
      </c>
      <c r="D7" s="100" t="n">
        <v>6</v>
      </c>
      <c r="E7" s="100" t="n">
        <v>8</v>
      </c>
      <c r="F7" s="18"/>
      <c r="G7" s="18"/>
    </row>
    <row r="8" customFormat="false" ht="15.75" hidden="false" customHeight="false" outlineLevel="0" collapsed="false">
      <c r="A8" s="97" t="s">
        <v>133</v>
      </c>
      <c r="B8" s="98" t="s">
        <v>123</v>
      </c>
      <c r="C8" s="101" t="s">
        <v>134</v>
      </c>
      <c r="D8" s="100" t="n">
        <v>0.5</v>
      </c>
      <c r="E8" s="100" t="n">
        <v>1</v>
      </c>
      <c r="F8" s="18"/>
      <c r="G8" s="18"/>
    </row>
    <row r="9" customFormat="false" ht="15.75" hidden="false" customHeight="false" outlineLevel="0" collapsed="false">
      <c r="A9" s="97" t="s">
        <v>135</v>
      </c>
      <c r="B9" s="98" t="s">
        <v>136</v>
      </c>
      <c r="C9" s="101" t="s">
        <v>137</v>
      </c>
      <c r="D9" s="100" t="n">
        <v>1</v>
      </c>
      <c r="E9" s="100" t="n">
        <v>1.5</v>
      </c>
      <c r="F9" s="18"/>
      <c r="G9" s="18"/>
    </row>
    <row r="10" customFormat="false" ht="15.75" hidden="false" customHeight="false" outlineLevel="0" collapsed="false">
      <c r="A10" s="18"/>
      <c r="B10" s="18"/>
      <c r="C10" s="101" t="s">
        <v>138</v>
      </c>
      <c r="D10" s="100" t="n">
        <v>1.5</v>
      </c>
      <c r="E10" s="100" t="n">
        <v>2</v>
      </c>
      <c r="F10" s="18"/>
      <c r="G10" s="18"/>
    </row>
    <row r="11" customFormat="false" ht="15.75" hidden="false" customHeight="false" outlineLevel="0" collapsed="false">
      <c r="A11" s="18"/>
      <c r="B11" s="18"/>
      <c r="C11" s="101" t="s">
        <v>139</v>
      </c>
      <c r="D11" s="100" t="n">
        <v>2</v>
      </c>
      <c r="E11" s="100" t="n">
        <v>4</v>
      </c>
      <c r="F11" s="18"/>
      <c r="G11" s="18"/>
    </row>
    <row r="12" customFormat="false" ht="15.75" hidden="false" customHeight="false" outlineLevel="0" collapsed="false">
      <c r="A12" s="18"/>
      <c r="B12" s="18"/>
      <c r="C12" s="101" t="s">
        <v>140</v>
      </c>
      <c r="D12" s="96" t="n">
        <v>0.3</v>
      </c>
      <c r="E12" s="96" t="n">
        <v>0.4</v>
      </c>
      <c r="F12" s="18"/>
      <c r="G12" s="18"/>
    </row>
    <row r="13" customFormat="false" ht="15.75" hidden="false" customHeight="false" outlineLevel="0" collapsed="false">
      <c r="A13" s="18"/>
      <c r="B13" s="18"/>
      <c r="C13" s="101" t="s">
        <v>141</v>
      </c>
      <c r="D13" s="96" t="n">
        <v>0.3</v>
      </c>
      <c r="E13" s="96" t="n">
        <v>0.4</v>
      </c>
      <c r="F13" s="18"/>
      <c r="G13" s="18"/>
    </row>
    <row r="14" customFormat="false" ht="15.75" hidden="false" customHeight="false" outlineLevel="0" collapsed="false">
      <c r="A14" s="18"/>
      <c r="B14" s="18"/>
      <c r="C14" s="101" t="s">
        <v>81</v>
      </c>
      <c r="D14" s="100" t="n">
        <v>8</v>
      </c>
      <c r="E14" s="100" t="n">
        <v>12</v>
      </c>
      <c r="F14" s="18"/>
      <c r="G14" s="18"/>
    </row>
    <row r="15" customFormat="false" ht="15.75" hidden="false" customHeight="false" outlineLevel="0" collapsed="false">
      <c r="A15" s="18"/>
      <c r="B15" s="18"/>
      <c r="C15" s="18"/>
      <c r="D15" s="18"/>
      <c r="E15" s="18"/>
      <c r="F15" s="18"/>
      <c r="G15" s="18"/>
    </row>
    <row r="16" customFormat="false" ht="15.75" hidden="false" customHeight="false" outlineLevel="0" collapsed="false">
      <c r="A16" s="18"/>
      <c r="B16" s="18"/>
      <c r="C16" s="18"/>
      <c r="D16" s="18"/>
      <c r="E16" s="18"/>
      <c r="F16" s="18"/>
      <c r="G16" s="18"/>
    </row>
    <row r="17" customFormat="false" ht="15.75" hidden="false" customHeight="false" outlineLevel="0" collapsed="false">
      <c r="A17" s="94" t="s">
        <v>0</v>
      </c>
      <c r="B17" s="94" t="s">
        <v>1</v>
      </c>
      <c r="C17" s="102"/>
      <c r="D17" s="103" t="s">
        <v>142</v>
      </c>
      <c r="E17" s="103" t="s">
        <v>143</v>
      </c>
      <c r="F17" s="103" t="s">
        <v>144</v>
      </c>
      <c r="G17" s="103" t="s">
        <v>145</v>
      </c>
    </row>
    <row r="18" customFormat="false" ht="15.75" hidden="false" customHeight="false" outlineLevel="0" collapsed="false">
      <c r="A18" s="104" t="s">
        <v>18</v>
      </c>
      <c r="B18" s="105" t="s">
        <v>18</v>
      </c>
      <c r="C18" s="105"/>
      <c r="D18" s="100" t="n">
        <f aca="false">IF($B$3="S",D3,D3*$F$3)</f>
        <v>2</v>
      </c>
      <c r="E18" s="100" t="n">
        <f aca="false">IF($B$3="S",E3,E3*$F$3)</f>
        <v>4</v>
      </c>
      <c r="F18" s="106" t="n">
        <f aca="false">ROUND(D18/2, 0)*2</f>
        <v>2</v>
      </c>
      <c r="G18" s="106" t="n">
        <f aca="false">ROUND(E18/2, 0)*2</f>
        <v>4</v>
      </c>
    </row>
    <row r="19" customFormat="false" ht="15.75" hidden="false" customHeight="false" outlineLevel="0" collapsed="false">
      <c r="A19" s="105"/>
      <c r="B19" s="105" t="s">
        <v>72</v>
      </c>
      <c r="C19" s="105"/>
      <c r="D19" s="100" t="n">
        <f aca="false">($B4*D4+$B5*D5+$B6*D6+$B7*D7)</f>
        <v>0</v>
      </c>
      <c r="E19" s="100" t="n">
        <f aca="false">($B4*E4+$B5*E5+$B6*E6+$B7*E7)</f>
        <v>0</v>
      </c>
      <c r="F19" s="106" t="n">
        <f aca="false">ROUND(D19/2, 0)*2</f>
        <v>0</v>
      </c>
      <c r="G19" s="106" t="n">
        <f aca="false">ROUND(E19/2, 0)*2</f>
        <v>0</v>
      </c>
    </row>
    <row r="20" customFormat="false" ht="15.75" hidden="false" customHeight="false" outlineLevel="0" collapsed="false">
      <c r="A20" s="105"/>
      <c r="B20" s="105" t="s">
        <v>80</v>
      </c>
      <c r="C20" s="105"/>
      <c r="D20" s="100" t="n">
        <f aca="false">SUM(($B4*D8+$B5*D9+$B6*D10+$B7*D11+D14)+(IF($B$8="S",(($B4*D8+$B5*D9+$B6*D10+$B7*D11)*D12),"0"))+(IF($B$9="S",(($B4*D8+$B5*D9+$B6*D10+$B7*D11)*D13),"0")))</f>
        <v>8</v>
      </c>
      <c r="E20" s="100" t="n">
        <f aca="false">SUM(($B4*E8+$B5*E9+$B6*E10+$B7*E11+E14)+(IF($B$8="S",(($B4*E8+$B5*E9+$B6*E10+$B7*E11)*E12),"0"))+(IF($B$9="S",(($B4*E8+$B5*E9+$B6*E10+$B7*E11)*E13),"0")))</f>
        <v>12</v>
      </c>
      <c r="F20" s="107" t="n">
        <f aca="false">ROUND((D20+D21)/2, 0)*2</f>
        <v>10</v>
      </c>
      <c r="G20" s="107" t="n">
        <f aca="false">ROUND((E20+E21)/2, 0)*2</f>
        <v>14</v>
      </c>
    </row>
    <row r="21" customFormat="false" ht="15.75" hidden="false" customHeight="false" outlineLevel="0" collapsed="false">
      <c r="A21" s="105"/>
      <c r="B21" s="108" t="s">
        <v>85</v>
      </c>
      <c r="C21" s="108"/>
      <c r="D21" s="109" t="n">
        <v>1</v>
      </c>
      <c r="E21" s="109" t="n">
        <v>2</v>
      </c>
      <c r="F21" s="107"/>
      <c r="G21" s="107"/>
    </row>
    <row r="22" customFormat="false" ht="15.75" hidden="false" customHeight="false" outlineLevel="0" collapsed="false">
      <c r="A22" s="105"/>
      <c r="B22" s="108" t="s">
        <v>43</v>
      </c>
      <c r="C22" s="108"/>
      <c r="D22" s="109" t="n">
        <v>2</v>
      </c>
      <c r="E22" s="109" t="n">
        <v>4</v>
      </c>
      <c r="F22" s="106" t="n">
        <f aca="false">ROUND(D22/2, 0)*2</f>
        <v>2</v>
      </c>
      <c r="G22" s="106" t="n">
        <f aca="false">ROUND(E22/2, 0)*2</f>
        <v>4</v>
      </c>
    </row>
  </sheetData>
  <mergeCells count="8">
    <mergeCell ref="B18:C18"/>
    <mergeCell ref="A19:A22"/>
    <mergeCell ref="B19:C19"/>
    <mergeCell ref="B20:C20"/>
    <mergeCell ref="F20:F21"/>
    <mergeCell ref="G20:G21"/>
    <mergeCell ref="B21:C21"/>
    <mergeCell ref="B22:C2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6.63"/>
    <col collapsed="false" customWidth="true" hidden="false" outlineLevel="0" max="2" min="2" style="1" width="10.51"/>
  </cols>
  <sheetData>
    <row r="1" customFormat="false" ht="15.75" hidden="false" customHeight="false" outlineLevel="0" collapsed="false">
      <c r="A1" s="110" t="s">
        <v>146</v>
      </c>
      <c r="B1" s="111" t="s">
        <v>147</v>
      </c>
    </row>
    <row r="2" customFormat="false" ht="15.75" hidden="false" customHeight="false" outlineLevel="0" collapsed="false">
      <c r="A2" s="18" t="s">
        <v>73</v>
      </c>
      <c r="B2" s="8"/>
    </row>
    <row r="3" customFormat="false" ht="15.75" hidden="false" customHeight="false" outlineLevel="0" collapsed="false">
      <c r="A3" s="18" t="s">
        <v>73</v>
      </c>
      <c r="B3" s="8"/>
    </row>
    <row r="4" customFormat="false" ht="15.75" hidden="false" customHeight="false" outlineLevel="0" collapsed="false">
      <c r="A4" s="18" t="s">
        <v>73</v>
      </c>
      <c r="B4" s="8"/>
    </row>
    <row r="5" customFormat="false" ht="15.75" hidden="false" customHeight="false" outlineLevel="0" collapsed="false">
      <c r="A5" s="18" t="s">
        <v>73</v>
      </c>
      <c r="B5" s="8"/>
    </row>
    <row r="6" customFormat="false" ht="15.75" hidden="false" customHeight="false" outlineLevel="0" collapsed="false">
      <c r="A6" s="18" t="s">
        <v>73</v>
      </c>
      <c r="B6" s="8"/>
    </row>
    <row r="7" customFormat="false" ht="15.75" hidden="false" customHeight="false" outlineLevel="0" collapsed="false">
      <c r="B7" s="8"/>
    </row>
    <row r="8" customFormat="false" ht="15.75" hidden="false" customHeight="false" outlineLevel="0" collapsed="false">
      <c r="B8" s="8"/>
    </row>
    <row r="9" customFormat="false" ht="15.75" hidden="false" customHeight="false" outlineLevel="0" collapsed="false">
      <c r="B9" s="8"/>
    </row>
    <row r="10" customFormat="false" ht="15.75" hidden="false" customHeight="false" outlineLevel="0" collapsed="false">
      <c r="B10" s="8"/>
    </row>
    <row r="11" customFormat="false" ht="15.75" hidden="false" customHeight="false" outlineLevel="0" collapsed="false">
      <c r="B11" s="8"/>
    </row>
    <row r="12" customFormat="false" ht="15.75" hidden="false" customHeight="false" outlineLevel="0" collapsed="false">
      <c r="B12" s="8"/>
    </row>
    <row r="13" customFormat="false" ht="15.75" hidden="false" customHeight="false" outlineLevel="0" collapsed="false">
      <c r="B13" s="8"/>
    </row>
    <row r="14" customFormat="false" ht="15.75" hidden="false" customHeight="false" outlineLevel="0" collapsed="false">
      <c r="B14" s="8"/>
    </row>
    <row r="15" customFormat="false" ht="15.75" hidden="false" customHeight="false" outlineLevel="0" collapsed="false">
      <c r="B15" s="8"/>
    </row>
    <row r="16" customFormat="false" ht="15.75" hidden="false" customHeight="false" outlineLevel="0" collapsed="false">
      <c r="B16" s="8"/>
    </row>
    <row r="17" customFormat="false" ht="15.75" hidden="false" customHeight="false" outlineLevel="0" collapsed="false">
      <c r="B17" s="8"/>
    </row>
    <row r="18" customFormat="false" ht="15.75" hidden="false" customHeight="false" outlineLevel="0" collapsed="false">
      <c r="B18" s="8"/>
    </row>
    <row r="19" customFormat="false" ht="15.75" hidden="false" customHeight="false" outlineLevel="0" collapsed="false">
      <c r="B19" s="8"/>
    </row>
    <row r="20" customFormat="false" ht="15.75" hidden="false" customHeight="false" outlineLevel="0" collapsed="false">
      <c r="B20" s="8"/>
    </row>
    <row r="21" customFormat="false" ht="15.75" hidden="false" customHeight="false" outlineLevel="0" collapsed="false">
      <c r="B21" s="8"/>
    </row>
    <row r="22" customFormat="false" ht="15.75" hidden="false" customHeight="false" outlineLevel="0" collapsed="false">
      <c r="B22" s="8"/>
    </row>
    <row r="23" customFormat="false" ht="15.75" hidden="false" customHeight="false" outlineLevel="0" collapsed="false">
      <c r="B23" s="8"/>
    </row>
    <row r="24" customFormat="false" ht="15.75" hidden="false" customHeight="false" outlineLevel="0" collapsed="false">
      <c r="B24" s="8"/>
    </row>
    <row r="25" customFormat="false" ht="15.75" hidden="false" customHeight="false" outlineLevel="0" collapsed="false">
      <c r="B25" s="8"/>
    </row>
    <row r="26" customFormat="false" ht="15.75" hidden="false" customHeight="false" outlineLevel="0" collapsed="false">
      <c r="B26" s="8"/>
    </row>
    <row r="27" customFormat="false" ht="15.75" hidden="false" customHeight="false" outlineLevel="0" collapsed="false">
      <c r="B27" s="8"/>
    </row>
    <row r="28" customFormat="false" ht="15.75" hidden="false" customHeight="false" outlineLevel="0" collapsed="false">
      <c r="B28" s="8"/>
    </row>
    <row r="29" customFormat="false" ht="15.75" hidden="false" customHeight="false" outlineLevel="0" collapsed="false">
      <c r="B29" s="8"/>
    </row>
    <row r="30" customFormat="false" ht="15.75" hidden="false" customHeight="false" outlineLevel="0" collapsed="false">
      <c r="B30" s="8"/>
    </row>
    <row r="31" customFormat="false" ht="15.75" hidden="false" customHeight="false" outlineLevel="0" collapsed="false">
      <c r="B31" s="8"/>
    </row>
    <row r="32" customFormat="false" ht="15.75" hidden="false" customHeight="false" outlineLevel="0" collapsed="false">
      <c r="B32" s="8"/>
    </row>
    <row r="33" customFormat="false" ht="15.75" hidden="false" customHeight="false" outlineLevel="0" collapsed="false">
      <c r="B33" s="8"/>
    </row>
    <row r="34" customFormat="false" ht="15.75" hidden="false" customHeight="false" outlineLevel="0" collapsed="false">
      <c r="B34" s="8"/>
    </row>
    <row r="35" customFormat="false" ht="15.75" hidden="false" customHeight="false" outlineLevel="0" collapsed="false">
      <c r="B35" s="8"/>
    </row>
    <row r="36" customFormat="false" ht="15.75" hidden="false" customHeight="false" outlineLevel="0" collapsed="false">
      <c r="B36" s="8"/>
    </row>
    <row r="37" customFormat="false" ht="15.75" hidden="false" customHeight="false" outlineLevel="0" collapsed="false">
      <c r="B37" s="8"/>
    </row>
    <row r="38" customFormat="false" ht="15.75" hidden="false" customHeight="false" outlineLevel="0" collapsed="false">
      <c r="B38" s="8"/>
    </row>
    <row r="39" customFormat="false" ht="15.75" hidden="false" customHeight="false" outlineLevel="0" collapsed="false">
      <c r="B39" s="8"/>
    </row>
    <row r="40" customFormat="false" ht="15.75" hidden="false" customHeight="false" outlineLevel="0" collapsed="false">
      <c r="B40" s="8"/>
    </row>
    <row r="41" customFormat="false" ht="15.75" hidden="false" customHeight="false" outlineLevel="0" collapsed="false">
      <c r="B41" s="8"/>
    </row>
    <row r="42" customFormat="false" ht="15.75" hidden="false" customHeight="false" outlineLevel="0" collapsed="false">
      <c r="B42" s="8"/>
    </row>
    <row r="43" customFormat="false" ht="15.75" hidden="false" customHeight="false" outlineLevel="0" collapsed="false">
      <c r="B43" s="8"/>
    </row>
    <row r="44" customFormat="false" ht="15.75" hidden="false" customHeight="false" outlineLevel="0" collapsed="false">
      <c r="B44" s="8"/>
    </row>
    <row r="45" customFormat="false" ht="15.75" hidden="false" customHeight="false" outlineLevel="0" collapsed="false">
      <c r="B45" s="8"/>
    </row>
    <row r="46" customFormat="false" ht="15.75" hidden="false" customHeight="false" outlineLevel="0" collapsed="false">
      <c r="B46" s="8"/>
    </row>
    <row r="47" customFormat="false" ht="15.75" hidden="false" customHeight="false" outlineLevel="0" collapsed="false">
      <c r="B47" s="8"/>
    </row>
    <row r="48" customFormat="false" ht="15.75" hidden="false" customHeight="false" outlineLevel="0" collapsed="false">
      <c r="B48" s="8"/>
    </row>
    <row r="49" customFormat="false" ht="15.75" hidden="false" customHeight="false" outlineLevel="0" collapsed="false">
      <c r="B49" s="8"/>
    </row>
    <row r="50" customFormat="false" ht="15.75" hidden="false" customHeight="false" outlineLevel="0" collapsed="false">
      <c r="B50" s="8"/>
    </row>
    <row r="51" customFormat="false" ht="15.75" hidden="false" customHeight="false" outlineLevel="0" collapsed="false">
      <c r="B51" s="8"/>
    </row>
    <row r="52" customFormat="false" ht="15.75" hidden="false" customHeight="false" outlineLevel="0" collapsed="false">
      <c r="B52" s="8"/>
    </row>
    <row r="53" customFormat="false" ht="15.75" hidden="false" customHeight="false" outlineLevel="0" collapsed="false">
      <c r="B53" s="8"/>
    </row>
    <row r="54" customFormat="false" ht="15.75" hidden="false" customHeight="false" outlineLevel="0" collapsed="false">
      <c r="B54" s="8"/>
    </row>
    <row r="55" customFormat="false" ht="15.75" hidden="false" customHeight="false" outlineLevel="0" collapsed="false">
      <c r="B55" s="8"/>
    </row>
    <row r="56" customFormat="false" ht="15.75" hidden="false" customHeight="false" outlineLevel="0" collapsed="false">
      <c r="B56" s="8"/>
    </row>
    <row r="57" customFormat="false" ht="15.75" hidden="false" customHeight="false" outlineLevel="0" collapsed="false">
      <c r="B57" s="8"/>
    </row>
    <row r="58" customFormat="false" ht="15.75" hidden="false" customHeight="false" outlineLevel="0" collapsed="false">
      <c r="B58" s="8"/>
    </row>
    <row r="59" customFormat="false" ht="15.75" hidden="false" customHeight="false" outlineLevel="0" collapsed="false">
      <c r="B59" s="8"/>
    </row>
    <row r="60" customFormat="false" ht="15.75" hidden="false" customHeight="false" outlineLevel="0" collapsed="false">
      <c r="B60" s="8"/>
    </row>
    <row r="61" customFormat="false" ht="15.75" hidden="false" customHeight="false" outlineLevel="0" collapsed="false">
      <c r="B61" s="8"/>
    </row>
    <row r="62" customFormat="false" ht="15.75" hidden="false" customHeight="false" outlineLevel="0" collapsed="false">
      <c r="B62" s="8"/>
    </row>
    <row r="63" customFormat="false" ht="15.75" hidden="false" customHeight="false" outlineLevel="0" collapsed="false">
      <c r="B63" s="8"/>
    </row>
    <row r="64" customFormat="false" ht="15.75" hidden="false" customHeight="false" outlineLevel="0" collapsed="false">
      <c r="B64" s="8"/>
    </row>
    <row r="65" customFormat="false" ht="15.75" hidden="false" customHeight="false" outlineLevel="0" collapsed="false">
      <c r="B65" s="8"/>
    </row>
    <row r="66" customFormat="false" ht="15.75" hidden="false" customHeight="false" outlineLevel="0" collapsed="false">
      <c r="B66" s="8"/>
    </row>
    <row r="67" customFormat="false" ht="15.75" hidden="false" customHeight="false" outlineLevel="0" collapsed="false">
      <c r="B67" s="8"/>
    </row>
    <row r="68" customFormat="false" ht="15.75" hidden="false" customHeight="false" outlineLevel="0" collapsed="false">
      <c r="B68" s="8"/>
    </row>
    <row r="69" customFormat="false" ht="15.75" hidden="false" customHeight="false" outlineLevel="0" collapsed="false">
      <c r="B69" s="8"/>
    </row>
    <row r="70" customFormat="false" ht="15.75" hidden="false" customHeight="false" outlineLevel="0" collapsed="false">
      <c r="B70" s="8"/>
    </row>
    <row r="71" customFormat="false" ht="15.75" hidden="false" customHeight="false" outlineLevel="0" collapsed="false">
      <c r="B71" s="8"/>
    </row>
    <row r="72" customFormat="false" ht="15.75" hidden="false" customHeight="false" outlineLevel="0" collapsed="false">
      <c r="B72" s="8"/>
    </row>
    <row r="73" customFormat="false" ht="15.75" hidden="false" customHeight="false" outlineLevel="0" collapsed="false">
      <c r="B73" s="8"/>
    </row>
    <row r="74" customFormat="false" ht="15.75" hidden="false" customHeight="false" outlineLevel="0" collapsed="false">
      <c r="B74" s="8"/>
    </row>
    <row r="75" customFormat="false" ht="15.75" hidden="false" customHeight="false" outlineLevel="0" collapsed="false">
      <c r="B75" s="8"/>
    </row>
    <row r="76" customFormat="false" ht="15.75" hidden="false" customHeight="false" outlineLevel="0" collapsed="false">
      <c r="B76" s="8"/>
    </row>
    <row r="77" customFormat="false" ht="15.75" hidden="false" customHeight="false" outlineLevel="0" collapsed="false">
      <c r="B77" s="8"/>
    </row>
    <row r="78" customFormat="false" ht="15.75" hidden="false" customHeight="false" outlineLevel="0" collapsed="false">
      <c r="B78" s="8"/>
    </row>
    <row r="79" customFormat="false" ht="15.75" hidden="false" customHeight="false" outlineLevel="0" collapsed="false">
      <c r="B79" s="8"/>
    </row>
    <row r="80" customFormat="false" ht="15.75" hidden="false" customHeight="false" outlineLevel="0" collapsed="false">
      <c r="B80" s="8"/>
    </row>
    <row r="81" customFormat="false" ht="15.75" hidden="false" customHeight="false" outlineLevel="0" collapsed="false">
      <c r="B81" s="8"/>
    </row>
    <row r="82" customFormat="false" ht="15.75" hidden="false" customHeight="false" outlineLevel="0" collapsed="false">
      <c r="B82" s="8"/>
    </row>
    <row r="83" customFormat="false" ht="15.75" hidden="false" customHeight="false" outlineLevel="0" collapsed="false">
      <c r="B83" s="8"/>
    </row>
    <row r="84" customFormat="false" ht="15.75" hidden="false" customHeight="false" outlineLevel="0" collapsed="false">
      <c r="B84" s="8"/>
    </row>
    <row r="85" customFormat="false" ht="15.75" hidden="false" customHeight="false" outlineLevel="0" collapsed="false">
      <c r="B85" s="8"/>
    </row>
    <row r="86" customFormat="false" ht="15.75" hidden="false" customHeight="false" outlineLevel="0" collapsed="false">
      <c r="B86" s="8"/>
    </row>
    <row r="87" customFormat="false" ht="15.75" hidden="false" customHeight="false" outlineLevel="0" collapsed="false">
      <c r="B87" s="8"/>
    </row>
    <row r="88" customFormat="false" ht="15.75" hidden="false" customHeight="false" outlineLevel="0" collapsed="false">
      <c r="B88" s="8"/>
    </row>
    <row r="89" customFormat="false" ht="15.75" hidden="false" customHeight="false" outlineLevel="0" collapsed="false">
      <c r="B89" s="8"/>
    </row>
    <row r="90" customFormat="false" ht="15.75" hidden="false" customHeight="false" outlineLevel="0" collapsed="false">
      <c r="B90" s="8"/>
    </row>
    <row r="91" customFormat="false" ht="15.75" hidden="false" customHeight="false" outlineLevel="0" collapsed="false">
      <c r="B91" s="8"/>
    </row>
    <row r="92" customFormat="false" ht="15.75" hidden="false" customHeight="false" outlineLevel="0" collapsed="false">
      <c r="B92" s="8"/>
    </row>
    <row r="93" customFormat="false" ht="15.75" hidden="false" customHeight="false" outlineLevel="0" collapsed="false">
      <c r="B93" s="8"/>
    </row>
    <row r="94" customFormat="false" ht="15.75" hidden="false" customHeight="false" outlineLevel="0" collapsed="false">
      <c r="B94" s="8"/>
    </row>
    <row r="95" customFormat="false" ht="15.75" hidden="false" customHeight="false" outlineLevel="0" collapsed="false">
      <c r="B95" s="8"/>
    </row>
    <row r="96" customFormat="false" ht="15.75" hidden="false" customHeight="false" outlineLevel="0" collapsed="false">
      <c r="B96" s="8"/>
    </row>
    <row r="97" customFormat="false" ht="15.75" hidden="false" customHeight="false" outlineLevel="0" collapsed="false">
      <c r="B97" s="8"/>
    </row>
    <row r="98" customFormat="false" ht="15.75" hidden="false" customHeight="false" outlineLevel="0" collapsed="false">
      <c r="B98" s="8"/>
    </row>
    <row r="99" customFormat="false" ht="15.75" hidden="false" customHeight="false" outlineLevel="0" collapsed="false">
      <c r="B99" s="8"/>
    </row>
    <row r="100" customFormat="false" ht="15.75" hidden="false" customHeight="false" outlineLevel="0" collapsed="false">
      <c r="B100" s="8"/>
    </row>
    <row r="101" customFormat="false" ht="15.75" hidden="false" customHeight="false" outlineLevel="0" collapsed="false">
      <c r="B101" s="8"/>
    </row>
    <row r="102" customFormat="false" ht="15.75" hidden="false" customHeight="false" outlineLevel="0" collapsed="false">
      <c r="B102" s="8"/>
    </row>
    <row r="103" customFormat="false" ht="15.75" hidden="false" customHeight="false" outlineLevel="0" collapsed="false">
      <c r="B103" s="8"/>
    </row>
    <row r="104" customFormat="false" ht="15.75" hidden="false" customHeight="false" outlineLevel="0" collapsed="false">
      <c r="B104" s="8"/>
    </row>
    <row r="105" customFormat="false" ht="15.75" hidden="false" customHeight="false" outlineLevel="0" collapsed="false">
      <c r="B105" s="8"/>
    </row>
    <row r="106" customFormat="false" ht="15.75" hidden="false" customHeight="false" outlineLevel="0" collapsed="false">
      <c r="B106" s="8"/>
    </row>
    <row r="107" customFormat="false" ht="15.75" hidden="false" customHeight="false" outlineLevel="0" collapsed="false">
      <c r="B107" s="8"/>
    </row>
    <row r="108" customFormat="false" ht="15.75" hidden="false" customHeight="false" outlineLevel="0" collapsed="false">
      <c r="B108" s="8"/>
    </row>
    <row r="109" customFormat="false" ht="15.75" hidden="false" customHeight="false" outlineLevel="0" collapsed="false">
      <c r="B109" s="8"/>
    </row>
    <row r="110" customFormat="false" ht="15.75" hidden="false" customHeight="false" outlineLevel="0" collapsed="false">
      <c r="B110" s="8"/>
    </row>
    <row r="111" customFormat="false" ht="15.75" hidden="false" customHeight="false" outlineLevel="0" collapsed="false">
      <c r="B111" s="8"/>
    </row>
    <row r="112" customFormat="false" ht="15.75" hidden="false" customHeight="false" outlineLevel="0" collapsed="false">
      <c r="B112" s="8"/>
    </row>
    <row r="113" customFormat="false" ht="15.75" hidden="false" customHeight="false" outlineLevel="0" collapsed="false">
      <c r="B113" s="8"/>
    </row>
    <row r="114" customFormat="false" ht="15.75" hidden="false" customHeight="false" outlineLevel="0" collapsed="false">
      <c r="B114" s="8"/>
    </row>
    <row r="115" customFormat="false" ht="15.75" hidden="false" customHeight="false" outlineLevel="0" collapsed="false">
      <c r="B115" s="8"/>
    </row>
    <row r="116" customFormat="false" ht="15.75" hidden="false" customHeight="false" outlineLevel="0" collapsed="false">
      <c r="B116" s="8"/>
    </row>
    <row r="117" customFormat="false" ht="15.75" hidden="false" customHeight="false" outlineLevel="0" collapsed="false">
      <c r="B117" s="8"/>
    </row>
    <row r="118" customFormat="false" ht="15.75" hidden="false" customHeight="false" outlineLevel="0" collapsed="false">
      <c r="B118" s="8"/>
    </row>
    <row r="119" customFormat="false" ht="15.75" hidden="false" customHeight="false" outlineLevel="0" collapsed="false">
      <c r="B119" s="8"/>
    </row>
    <row r="120" customFormat="false" ht="15.75" hidden="false" customHeight="false" outlineLevel="0" collapsed="false">
      <c r="B120" s="8"/>
    </row>
    <row r="121" customFormat="false" ht="15.75" hidden="false" customHeight="false" outlineLevel="0" collapsed="false">
      <c r="B121" s="8"/>
    </row>
    <row r="122" customFormat="false" ht="15.75" hidden="false" customHeight="false" outlineLevel="0" collapsed="false">
      <c r="B122" s="8"/>
    </row>
    <row r="123" customFormat="false" ht="15.75" hidden="false" customHeight="false" outlineLevel="0" collapsed="false">
      <c r="B123" s="8"/>
    </row>
    <row r="124" customFormat="false" ht="15.75" hidden="false" customHeight="false" outlineLevel="0" collapsed="false">
      <c r="B124" s="8"/>
    </row>
    <row r="125" customFormat="false" ht="15.75" hidden="false" customHeight="false" outlineLevel="0" collapsed="false">
      <c r="B125" s="8"/>
    </row>
    <row r="126" customFormat="false" ht="15.75" hidden="false" customHeight="false" outlineLevel="0" collapsed="false">
      <c r="B126" s="8"/>
    </row>
    <row r="127" customFormat="false" ht="15.75" hidden="false" customHeight="false" outlineLevel="0" collapsed="false">
      <c r="B127" s="8"/>
    </row>
    <row r="128" customFormat="false" ht="15.75" hidden="false" customHeight="false" outlineLevel="0" collapsed="false">
      <c r="B128" s="8"/>
    </row>
    <row r="129" customFormat="false" ht="15.75" hidden="false" customHeight="false" outlineLevel="0" collapsed="false">
      <c r="B129" s="8"/>
    </row>
    <row r="130" customFormat="false" ht="15.75" hidden="false" customHeight="false" outlineLevel="0" collapsed="false">
      <c r="B130" s="8"/>
    </row>
    <row r="131" customFormat="false" ht="15.75" hidden="false" customHeight="false" outlineLevel="0" collapsed="false">
      <c r="B131" s="8"/>
    </row>
    <row r="132" customFormat="false" ht="15.75" hidden="false" customHeight="false" outlineLevel="0" collapsed="false">
      <c r="B132" s="8"/>
    </row>
    <row r="133" customFormat="false" ht="15.75" hidden="false" customHeight="false" outlineLevel="0" collapsed="false">
      <c r="B133" s="8"/>
    </row>
    <row r="134" customFormat="false" ht="15.75" hidden="false" customHeight="false" outlineLevel="0" collapsed="false">
      <c r="B134" s="8"/>
    </row>
    <row r="135" customFormat="false" ht="15.75" hidden="false" customHeight="false" outlineLevel="0" collapsed="false">
      <c r="B135" s="8"/>
    </row>
    <row r="136" customFormat="false" ht="15.75" hidden="false" customHeight="false" outlineLevel="0" collapsed="false">
      <c r="B136" s="8"/>
    </row>
    <row r="137" customFormat="false" ht="15.75" hidden="false" customHeight="false" outlineLevel="0" collapsed="false">
      <c r="B137" s="8"/>
    </row>
    <row r="138" customFormat="false" ht="15.75" hidden="false" customHeight="false" outlineLevel="0" collapsed="false">
      <c r="B138" s="8"/>
    </row>
    <row r="139" customFormat="false" ht="15.75" hidden="false" customHeight="false" outlineLevel="0" collapsed="false">
      <c r="B139" s="8"/>
    </row>
    <row r="140" customFormat="false" ht="15.75" hidden="false" customHeight="false" outlineLevel="0" collapsed="false">
      <c r="B140" s="8"/>
    </row>
    <row r="141" customFormat="false" ht="15.75" hidden="false" customHeight="false" outlineLevel="0" collapsed="false">
      <c r="B141" s="8"/>
    </row>
    <row r="142" customFormat="false" ht="15.75" hidden="false" customHeight="false" outlineLevel="0" collapsed="false">
      <c r="B142" s="8"/>
    </row>
    <row r="143" customFormat="false" ht="15.75" hidden="false" customHeight="false" outlineLevel="0" collapsed="false">
      <c r="B143" s="8"/>
    </row>
    <row r="144" customFormat="false" ht="15.75" hidden="false" customHeight="false" outlineLevel="0" collapsed="false">
      <c r="B144" s="8"/>
    </row>
    <row r="145" customFormat="false" ht="15.75" hidden="false" customHeight="false" outlineLevel="0" collapsed="false">
      <c r="B145" s="8"/>
    </row>
    <row r="146" customFormat="false" ht="15.75" hidden="false" customHeight="false" outlineLevel="0" collapsed="false">
      <c r="B146" s="8"/>
    </row>
    <row r="147" customFormat="false" ht="15.75" hidden="false" customHeight="false" outlineLevel="0" collapsed="false">
      <c r="B147" s="8"/>
    </row>
    <row r="148" customFormat="false" ht="15.75" hidden="false" customHeight="false" outlineLevel="0" collapsed="false">
      <c r="B148" s="8"/>
    </row>
    <row r="149" customFormat="false" ht="15.75" hidden="false" customHeight="false" outlineLevel="0" collapsed="false">
      <c r="B149" s="8"/>
    </row>
    <row r="150" customFormat="false" ht="15.75" hidden="false" customHeight="false" outlineLevel="0" collapsed="false">
      <c r="B150" s="8"/>
    </row>
    <row r="151" customFormat="false" ht="15.75" hidden="false" customHeight="false" outlineLevel="0" collapsed="false">
      <c r="B151" s="8"/>
    </row>
    <row r="152" customFormat="false" ht="15.75" hidden="false" customHeight="false" outlineLevel="0" collapsed="false">
      <c r="B152" s="8"/>
    </row>
    <row r="153" customFormat="false" ht="15.75" hidden="false" customHeight="false" outlineLevel="0" collapsed="false">
      <c r="B153" s="8"/>
    </row>
    <row r="154" customFormat="false" ht="15.75" hidden="false" customHeight="false" outlineLevel="0" collapsed="false">
      <c r="B154" s="8"/>
    </row>
    <row r="155" customFormat="false" ht="15.75" hidden="false" customHeight="false" outlineLevel="0" collapsed="false">
      <c r="B155" s="8"/>
    </row>
    <row r="156" customFormat="false" ht="15.75" hidden="false" customHeight="false" outlineLevel="0" collapsed="false">
      <c r="B156" s="8"/>
    </row>
    <row r="157" customFormat="false" ht="15.75" hidden="false" customHeight="false" outlineLevel="0" collapsed="false">
      <c r="B157" s="8"/>
    </row>
    <row r="158" customFormat="false" ht="15.75" hidden="false" customHeight="false" outlineLevel="0" collapsed="false">
      <c r="B158" s="8"/>
    </row>
    <row r="159" customFormat="false" ht="15.75" hidden="false" customHeight="false" outlineLevel="0" collapsed="false">
      <c r="B159" s="8"/>
    </row>
    <row r="160" customFormat="false" ht="15.75" hidden="false" customHeight="false" outlineLevel="0" collapsed="false">
      <c r="B160" s="8"/>
    </row>
    <row r="161" customFormat="false" ht="15.75" hidden="false" customHeight="false" outlineLevel="0" collapsed="false">
      <c r="B161" s="8"/>
    </row>
    <row r="162" customFormat="false" ht="15.75" hidden="false" customHeight="false" outlineLevel="0" collapsed="false">
      <c r="B162" s="8"/>
    </row>
    <row r="163" customFormat="false" ht="15.75" hidden="false" customHeight="false" outlineLevel="0" collapsed="false">
      <c r="B163" s="8"/>
    </row>
    <row r="164" customFormat="false" ht="15.75" hidden="false" customHeight="false" outlineLevel="0" collapsed="false">
      <c r="B164" s="8"/>
    </row>
    <row r="165" customFormat="false" ht="15.75" hidden="false" customHeight="false" outlineLevel="0" collapsed="false">
      <c r="B165" s="8"/>
    </row>
    <row r="166" customFormat="false" ht="15.75" hidden="false" customHeight="false" outlineLevel="0" collapsed="false">
      <c r="B166" s="8"/>
    </row>
    <row r="167" customFormat="false" ht="15.75" hidden="false" customHeight="false" outlineLevel="0" collapsed="false">
      <c r="B167" s="8"/>
    </row>
    <row r="168" customFormat="false" ht="15.75" hidden="false" customHeight="false" outlineLevel="0" collapsed="false">
      <c r="B168" s="8"/>
    </row>
    <row r="169" customFormat="false" ht="15.75" hidden="false" customHeight="false" outlineLevel="0" collapsed="false">
      <c r="B169" s="8"/>
    </row>
    <row r="170" customFormat="false" ht="15.75" hidden="false" customHeight="false" outlineLevel="0" collapsed="false">
      <c r="B170" s="8"/>
    </row>
    <row r="171" customFormat="false" ht="15.75" hidden="false" customHeight="false" outlineLevel="0" collapsed="false">
      <c r="B171" s="8"/>
    </row>
    <row r="172" customFormat="false" ht="15.75" hidden="false" customHeight="false" outlineLevel="0" collapsed="false">
      <c r="B172" s="8"/>
    </row>
    <row r="173" customFormat="false" ht="15.75" hidden="false" customHeight="false" outlineLevel="0" collapsed="false">
      <c r="B173" s="8"/>
    </row>
    <row r="174" customFormat="false" ht="15.75" hidden="false" customHeight="false" outlineLevel="0" collapsed="false">
      <c r="B174" s="8"/>
    </row>
    <row r="175" customFormat="false" ht="15.75" hidden="false" customHeight="false" outlineLevel="0" collapsed="false">
      <c r="B175" s="8"/>
    </row>
    <row r="176" customFormat="false" ht="15.75" hidden="false" customHeight="false" outlineLevel="0" collapsed="false">
      <c r="B176" s="8"/>
    </row>
    <row r="177" customFormat="false" ht="15.75" hidden="false" customHeight="false" outlineLevel="0" collapsed="false">
      <c r="B177" s="8"/>
    </row>
    <row r="178" customFormat="false" ht="15.75" hidden="false" customHeight="false" outlineLevel="0" collapsed="false">
      <c r="B178" s="8"/>
    </row>
    <row r="179" customFormat="false" ht="15.75" hidden="false" customHeight="false" outlineLevel="0" collapsed="false">
      <c r="B179" s="8"/>
    </row>
    <row r="180" customFormat="false" ht="15.75" hidden="false" customHeight="false" outlineLevel="0" collapsed="false">
      <c r="B180" s="8"/>
    </row>
    <row r="181" customFormat="false" ht="15.75" hidden="false" customHeight="false" outlineLevel="0" collapsed="false">
      <c r="B181" s="8"/>
    </row>
    <row r="182" customFormat="false" ht="15.75" hidden="false" customHeight="false" outlineLevel="0" collapsed="false">
      <c r="B182" s="8"/>
    </row>
    <row r="183" customFormat="false" ht="15.75" hidden="false" customHeight="false" outlineLevel="0" collapsed="false">
      <c r="B183" s="8"/>
    </row>
    <row r="184" customFormat="false" ht="15.75" hidden="false" customHeight="false" outlineLevel="0" collapsed="false">
      <c r="B184" s="8"/>
    </row>
    <row r="185" customFormat="false" ht="15.75" hidden="false" customHeight="false" outlineLevel="0" collapsed="false">
      <c r="B185" s="8"/>
    </row>
    <row r="186" customFormat="false" ht="15.75" hidden="false" customHeight="false" outlineLevel="0" collapsed="false">
      <c r="B186" s="8"/>
    </row>
    <row r="187" customFormat="false" ht="15.75" hidden="false" customHeight="false" outlineLevel="0" collapsed="false">
      <c r="B187" s="8"/>
    </row>
    <row r="188" customFormat="false" ht="15.75" hidden="false" customHeight="false" outlineLevel="0" collapsed="false">
      <c r="B188" s="8"/>
    </row>
    <row r="189" customFormat="false" ht="15.75" hidden="false" customHeight="false" outlineLevel="0" collapsed="false">
      <c r="B189" s="8"/>
    </row>
    <row r="190" customFormat="false" ht="15.75" hidden="false" customHeight="false" outlineLevel="0" collapsed="false">
      <c r="B190" s="8"/>
    </row>
    <row r="191" customFormat="false" ht="15.75" hidden="false" customHeight="false" outlineLevel="0" collapsed="false">
      <c r="B191" s="8"/>
    </row>
    <row r="192" customFormat="false" ht="15.75" hidden="false" customHeight="false" outlineLevel="0" collapsed="false">
      <c r="B192" s="8"/>
    </row>
    <row r="193" customFormat="false" ht="15.75" hidden="false" customHeight="false" outlineLevel="0" collapsed="false">
      <c r="B193" s="8"/>
    </row>
    <row r="194" customFormat="false" ht="15.75" hidden="false" customHeight="false" outlineLevel="0" collapsed="false">
      <c r="B194" s="8"/>
    </row>
    <row r="195" customFormat="false" ht="15.75" hidden="false" customHeight="false" outlineLevel="0" collapsed="false">
      <c r="B195" s="8"/>
    </row>
    <row r="196" customFormat="false" ht="15.75" hidden="false" customHeight="false" outlineLevel="0" collapsed="false">
      <c r="B196" s="8"/>
    </row>
    <row r="197" customFormat="false" ht="15.75" hidden="false" customHeight="false" outlineLevel="0" collapsed="false">
      <c r="B197" s="8"/>
    </row>
    <row r="198" customFormat="false" ht="15.75" hidden="false" customHeight="false" outlineLevel="0" collapsed="false">
      <c r="B198" s="8"/>
    </row>
    <row r="199" customFormat="false" ht="15.75" hidden="false" customHeight="false" outlineLevel="0" collapsed="false">
      <c r="B199" s="8"/>
    </row>
    <row r="200" customFormat="false" ht="15.75" hidden="false" customHeight="false" outlineLevel="0" collapsed="false">
      <c r="B200" s="8"/>
    </row>
    <row r="201" customFormat="false" ht="15.75" hidden="false" customHeight="false" outlineLevel="0" collapsed="false">
      <c r="B201" s="8"/>
    </row>
    <row r="202" customFormat="false" ht="15.75" hidden="false" customHeight="false" outlineLevel="0" collapsed="false">
      <c r="B202" s="8"/>
    </row>
    <row r="203" customFormat="false" ht="15.75" hidden="false" customHeight="false" outlineLevel="0" collapsed="false">
      <c r="B203" s="8"/>
    </row>
    <row r="204" customFormat="false" ht="15.75" hidden="false" customHeight="false" outlineLevel="0" collapsed="false">
      <c r="B204" s="8"/>
    </row>
    <row r="205" customFormat="false" ht="15.75" hidden="false" customHeight="false" outlineLevel="0" collapsed="false">
      <c r="B205" s="8"/>
    </row>
    <row r="206" customFormat="false" ht="15.75" hidden="false" customHeight="false" outlineLevel="0" collapsed="false">
      <c r="B206" s="8"/>
    </row>
    <row r="207" customFormat="false" ht="15.75" hidden="false" customHeight="false" outlineLevel="0" collapsed="false">
      <c r="B207" s="8"/>
    </row>
    <row r="208" customFormat="false" ht="15.75" hidden="false" customHeight="false" outlineLevel="0" collapsed="false">
      <c r="B208" s="8"/>
    </row>
    <row r="209" customFormat="false" ht="15.75" hidden="false" customHeight="false" outlineLevel="0" collapsed="false">
      <c r="B209" s="8"/>
    </row>
    <row r="210" customFormat="false" ht="15.75" hidden="false" customHeight="false" outlineLevel="0" collapsed="false">
      <c r="B210" s="8"/>
    </row>
    <row r="211" customFormat="false" ht="15.75" hidden="false" customHeight="false" outlineLevel="0" collapsed="false">
      <c r="B211" s="8"/>
    </row>
    <row r="212" customFormat="false" ht="15.75" hidden="false" customHeight="false" outlineLevel="0" collapsed="false">
      <c r="B212" s="8"/>
    </row>
    <row r="213" customFormat="false" ht="15.75" hidden="false" customHeight="false" outlineLevel="0" collapsed="false">
      <c r="B213" s="8"/>
    </row>
    <row r="214" customFormat="false" ht="15.75" hidden="false" customHeight="false" outlineLevel="0" collapsed="false">
      <c r="B214" s="8"/>
    </row>
    <row r="215" customFormat="false" ht="15.75" hidden="false" customHeight="false" outlineLevel="0" collapsed="false">
      <c r="B215" s="8"/>
    </row>
    <row r="216" customFormat="false" ht="15.75" hidden="false" customHeight="false" outlineLevel="0" collapsed="false">
      <c r="B216" s="8"/>
    </row>
    <row r="217" customFormat="false" ht="15.75" hidden="false" customHeight="false" outlineLevel="0" collapsed="false">
      <c r="B217" s="8"/>
    </row>
    <row r="218" customFormat="false" ht="15.75" hidden="false" customHeight="false" outlineLevel="0" collapsed="false">
      <c r="B218" s="8"/>
    </row>
    <row r="219" customFormat="false" ht="15.75" hidden="false" customHeight="false" outlineLevel="0" collapsed="false">
      <c r="B219" s="8"/>
    </row>
    <row r="220" customFormat="false" ht="15.75" hidden="false" customHeight="false" outlineLevel="0" collapsed="false">
      <c r="B220" s="8"/>
    </row>
    <row r="221" customFormat="false" ht="15.75" hidden="false" customHeight="false" outlineLevel="0" collapsed="false">
      <c r="B221" s="8"/>
    </row>
    <row r="222" customFormat="false" ht="15.75" hidden="false" customHeight="false" outlineLevel="0" collapsed="false">
      <c r="B222" s="8"/>
    </row>
    <row r="223" customFormat="false" ht="15.75" hidden="false" customHeight="false" outlineLevel="0" collapsed="false">
      <c r="B223" s="8"/>
    </row>
    <row r="224" customFormat="false" ht="15.75" hidden="false" customHeight="false" outlineLevel="0" collapsed="false">
      <c r="B224" s="8"/>
    </row>
    <row r="225" customFormat="false" ht="15.75" hidden="false" customHeight="false" outlineLevel="0" collapsed="false">
      <c r="B225" s="8"/>
    </row>
    <row r="226" customFormat="false" ht="15.75" hidden="false" customHeight="false" outlineLevel="0" collapsed="false">
      <c r="B226" s="8"/>
    </row>
    <row r="227" customFormat="false" ht="15.75" hidden="false" customHeight="false" outlineLevel="0" collapsed="false">
      <c r="B227" s="8"/>
    </row>
    <row r="228" customFormat="false" ht="15.75" hidden="false" customHeight="false" outlineLevel="0" collapsed="false">
      <c r="B228" s="8"/>
    </row>
    <row r="229" customFormat="false" ht="15.75" hidden="false" customHeight="false" outlineLevel="0" collapsed="false">
      <c r="B229" s="8"/>
    </row>
    <row r="230" customFormat="false" ht="15.75" hidden="false" customHeight="false" outlineLevel="0" collapsed="false">
      <c r="B230" s="8"/>
    </row>
    <row r="231" customFormat="false" ht="15.75" hidden="false" customHeight="false" outlineLevel="0" collapsed="false">
      <c r="B231" s="8"/>
    </row>
    <row r="232" customFormat="false" ht="15.75" hidden="false" customHeight="false" outlineLevel="0" collapsed="false">
      <c r="B232" s="8"/>
    </row>
    <row r="233" customFormat="false" ht="15.75" hidden="false" customHeight="false" outlineLevel="0" collapsed="false">
      <c r="B233" s="8"/>
    </row>
    <row r="234" customFormat="false" ht="15.75" hidden="false" customHeight="false" outlineLevel="0" collapsed="false">
      <c r="B234" s="8"/>
    </row>
    <row r="235" customFormat="false" ht="15.75" hidden="false" customHeight="false" outlineLevel="0" collapsed="false">
      <c r="B235" s="8"/>
    </row>
    <row r="236" customFormat="false" ht="15.75" hidden="false" customHeight="false" outlineLevel="0" collapsed="false">
      <c r="B236" s="8"/>
    </row>
    <row r="237" customFormat="false" ht="15.75" hidden="false" customHeight="false" outlineLevel="0" collapsed="false">
      <c r="B237" s="8"/>
    </row>
    <row r="238" customFormat="false" ht="15.75" hidden="false" customHeight="false" outlineLevel="0" collapsed="false">
      <c r="B238" s="8"/>
    </row>
    <row r="239" customFormat="false" ht="15.75" hidden="false" customHeight="false" outlineLevel="0" collapsed="false">
      <c r="B239" s="8"/>
    </row>
    <row r="240" customFormat="false" ht="15.75" hidden="false" customHeight="false" outlineLevel="0" collapsed="false">
      <c r="B240" s="8"/>
    </row>
    <row r="241" customFormat="false" ht="15.75" hidden="false" customHeight="false" outlineLevel="0" collapsed="false">
      <c r="B241" s="8"/>
    </row>
    <row r="242" customFormat="false" ht="15.75" hidden="false" customHeight="false" outlineLevel="0" collapsed="false">
      <c r="B242" s="8"/>
    </row>
    <row r="243" customFormat="false" ht="15.75" hidden="false" customHeight="false" outlineLevel="0" collapsed="false">
      <c r="B243" s="8"/>
    </row>
    <row r="244" customFormat="false" ht="15.75" hidden="false" customHeight="false" outlineLevel="0" collapsed="false">
      <c r="B244" s="8"/>
    </row>
    <row r="245" customFormat="false" ht="15.75" hidden="false" customHeight="false" outlineLevel="0" collapsed="false">
      <c r="B245" s="8"/>
    </row>
    <row r="246" customFormat="false" ht="15.75" hidden="false" customHeight="false" outlineLevel="0" collapsed="false">
      <c r="B246" s="8"/>
    </row>
    <row r="247" customFormat="false" ht="15.75" hidden="false" customHeight="false" outlineLevel="0" collapsed="false">
      <c r="B247" s="8"/>
    </row>
    <row r="248" customFormat="false" ht="15.75" hidden="false" customHeight="false" outlineLevel="0" collapsed="false">
      <c r="B248" s="8"/>
    </row>
    <row r="249" customFormat="false" ht="15.75" hidden="false" customHeight="false" outlineLevel="0" collapsed="false">
      <c r="B249" s="8"/>
    </row>
    <row r="250" customFormat="false" ht="15.75" hidden="false" customHeight="false" outlineLevel="0" collapsed="false">
      <c r="B250" s="8"/>
    </row>
    <row r="251" customFormat="false" ht="15.75" hidden="false" customHeight="false" outlineLevel="0" collapsed="false">
      <c r="B251" s="8"/>
    </row>
    <row r="252" customFormat="false" ht="15.75" hidden="false" customHeight="false" outlineLevel="0" collapsed="false">
      <c r="B252" s="8"/>
    </row>
    <row r="253" customFormat="false" ht="15.75" hidden="false" customHeight="false" outlineLevel="0" collapsed="false">
      <c r="B253" s="8"/>
    </row>
    <row r="254" customFormat="false" ht="15.75" hidden="false" customHeight="false" outlineLevel="0" collapsed="false">
      <c r="B254" s="8"/>
    </row>
    <row r="255" customFormat="false" ht="15.75" hidden="false" customHeight="false" outlineLevel="0" collapsed="false">
      <c r="B255" s="8"/>
    </row>
    <row r="256" customFormat="false" ht="15.75" hidden="false" customHeight="false" outlineLevel="0" collapsed="false">
      <c r="B256" s="8"/>
    </row>
    <row r="257" customFormat="false" ht="15.75" hidden="false" customHeight="false" outlineLevel="0" collapsed="false">
      <c r="B257" s="8"/>
    </row>
    <row r="258" customFormat="false" ht="15.75" hidden="false" customHeight="false" outlineLevel="0" collapsed="false">
      <c r="B258" s="8"/>
    </row>
    <row r="259" customFormat="false" ht="15.75" hidden="false" customHeight="false" outlineLevel="0" collapsed="false">
      <c r="B259" s="8"/>
    </row>
    <row r="260" customFormat="false" ht="15.75" hidden="false" customHeight="false" outlineLevel="0" collapsed="false">
      <c r="B260" s="8"/>
    </row>
    <row r="261" customFormat="false" ht="15.75" hidden="false" customHeight="false" outlineLevel="0" collapsed="false">
      <c r="B261" s="8"/>
    </row>
    <row r="262" customFormat="false" ht="15.75" hidden="false" customHeight="false" outlineLevel="0" collapsed="false">
      <c r="B262" s="8"/>
    </row>
    <row r="263" customFormat="false" ht="15.75" hidden="false" customHeight="false" outlineLevel="0" collapsed="false">
      <c r="B263" s="8"/>
    </row>
    <row r="264" customFormat="false" ht="15.75" hidden="false" customHeight="false" outlineLevel="0" collapsed="false">
      <c r="B264" s="8"/>
    </row>
    <row r="265" customFormat="false" ht="15.75" hidden="false" customHeight="false" outlineLevel="0" collapsed="false">
      <c r="B265" s="8"/>
    </row>
    <row r="266" customFormat="false" ht="15.75" hidden="false" customHeight="false" outlineLevel="0" collapsed="false">
      <c r="B266" s="8"/>
    </row>
    <row r="267" customFormat="false" ht="15.75" hidden="false" customHeight="false" outlineLevel="0" collapsed="false">
      <c r="B267" s="8"/>
    </row>
    <row r="268" customFormat="false" ht="15.75" hidden="false" customHeight="false" outlineLevel="0" collapsed="false">
      <c r="B268" s="8"/>
    </row>
    <row r="269" customFormat="false" ht="15.75" hidden="false" customHeight="false" outlineLevel="0" collapsed="false">
      <c r="B269" s="8"/>
    </row>
    <row r="270" customFormat="false" ht="15.75" hidden="false" customHeight="false" outlineLevel="0" collapsed="false">
      <c r="B270" s="8"/>
    </row>
    <row r="271" customFormat="false" ht="15.75" hidden="false" customHeight="false" outlineLevel="0" collapsed="false">
      <c r="B271" s="8"/>
    </row>
    <row r="272" customFormat="false" ht="15.75" hidden="false" customHeight="false" outlineLevel="0" collapsed="false">
      <c r="B272" s="8"/>
    </row>
    <row r="273" customFormat="false" ht="15.75" hidden="false" customHeight="false" outlineLevel="0" collapsed="false">
      <c r="B273" s="8"/>
    </row>
    <row r="274" customFormat="false" ht="15.75" hidden="false" customHeight="false" outlineLevel="0" collapsed="false">
      <c r="B274" s="8"/>
    </row>
    <row r="275" customFormat="false" ht="15.75" hidden="false" customHeight="false" outlineLevel="0" collapsed="false">
      <c r="B275" s="8"/>
    </row>
    <row r="276" customFormat="false" ht="15.75" hidden="false" customHeight="false" outlineLevel="0" collapsed="false">
      <c r="B276" s="8"/>
    </row>
    <row r="277" customFormat="false" ht="15.75" hidden="false" customHeight="false" outlineLevel="0" collapsed="false">
      <c r="B277" s="8"/>
    </row>
    <row r="278" customFormat="false" ht="15.75" hidden="false" customHeight="false" outlineLevel="0" collapsed="false">
      <c r="B278" s="8"/>
    </row>
    <row r="279" customFormat="false" ht="15.75" hidden="false" customHeight="false" outlineLevel="0" collapsed="false">
      <c r="B279" s="8"/>
    </row>
    <row r="280" customFormat="false" ht="15.75" hidden="false" customHeight="false" outlineLevel="0" collapsed="false">
      <c r="B280" s="8"/>
    </row>
    <row r="281" customFormat="false" ht="15.75" hidden="false" customHeight="false" outlineLevel="0" collapsed="false">
      <c r="B281" s="8"/>
    </row>
    <row r="282" customFormat="false" ht="15.75" hidden="false" customHeight="false" outlineLevel="0" collapsed="false">
      <c r="B282" s="8"/>
    </row>
    <row r="283" customFormat="false" ht="15.75" hidden="false" customHeight="false" outlineLevel="0" collapsed="false">
      <c r="B283" s="8"/>
    </row>
    <row r="284" customFormat="false" ht="15.75" hidden="false" customHeight="false" outlineLevel="0" collapsed="false">
      <c r="B284" s="8"/>
    </row>
    <row r="285" customFormat="false" ht="15.75" hidden="false" customHeight="false" outlineLevel="0" collapsed="false">
      <c r="B285" s="8"/>
    </row>
    <row r="286" customFormat="false" ht="15.75" hidden="false" customHeight="false" outlineLevel="0" collapsed="false">
      <c r="B286" s="8"/>
    </row>
    <row r="287" customFormat="false" ht="15.75" hidden="false" customHeight="false" outlineLevel="0" collapsed="false">
      <c r="B287" s="8"/>
    </row>
    <row r="288" customFormat="false" ht="15.75" hidden="false" customHeight="false" outlineLevel="0" collapsed="false">
      <c r="B288" s="8"/>
    </row>
    <row r="289" customFormat="false" ht="15.75" hidden="false" customHeight="false" outlineLevel="0" collapsed="false">
      <c r="B289" s="8"/>
    </row>
    <row r="290" customFormat="false" ht="15.75" hidden="false" customHeight="false" outlineLevel="0" collapsed="false">
      <c r="B290" s="8"/>
    </row>
    <row r="291" customFormat="false" ht="15.75" hidden="false" customHeight="false" outlineLevel="0" collapsed="false">
      <c r="B291" s="8"/>
    </row>
    <row r="292" customFormat="false" ht="15.75" hidden="false" customHeight="false" outlineLevel="0" collapsed="false">
      <c r="B292" s="8"/>
    </row>
    <row r="293" customFormat="false" ht="15.75" hidden="false" customHeight="false" outlineLevel="0" collapsed="false">
      <c r="B293" s="8"/>
    </row>
    <row r="294" customFormat="false" ht="15.75" hidden="false" customHeight="false" outlineLevel="0" collapsed="false">
      <c r="B294" s="8"/>
    </row>
    <row r="295" customFormat="false" ht="15.75" hidden="false" customHeight="false" outlineLevel="0" collapsed="false">
      <c r="B295" s="8"/>
    </row>
    <row r="296" customFormat="false" ht="15.75" hidden="false" customHeight="false" outlineLevel="0" collapsed="false">
      <c r="B296" s="8"/>
    </row>
    <row r="297" customFormat="false" ht="15.75" hidden="false" customHeight="false" outlineLevel="0" collapsed="false">
      <c r="B297" s="8"/>
    </row>
    <row r="298" customFormat="false" ht="15.75" hidden="false" customHeight="false" outlineLevel="0" collapsed="false">
      <c r="B298" s="8"/>
    </row>
    <row r="299" customFormat="false" ht="15.75" hidden="false" customHeight="false" outlineLevel="0" collapsed="false">
      <c r="B299" s="8"/>
    </row>
    <row r="300" customFormat="false" ht="15.75" hidden="false" customHeight="false" outlineLevel="0" collapsed="false">
      <c r="B300" s="8"/>
    </row>
    <row r="301" customFormat="false" ht="15.75" hidden="false" customHeight="false" outlineLevel="0" collapsed="false">
      <c r="B301" s="8"/>
    </row>
    <row r="302" customFormat="false" ht="15.75" hidden="false" customHeight="false" outlineLevel="0" collapsed="false">
      <c r="B302" s="8"/>
    </row>
    <row r="303" customFormat="false" ht="15.75" hidden="false" customHeight="false" outlineLevel="0" collapsed="false">
      <c r="B303" s="8"/>
    </row>
    <row r="304" customFormat="false" ht="15.75" hidden="false" customHeight="false" outlineLevel="0" collapsed="false">
      <c r="B304" s="8"/>
    </row>
    <row r="305" customFormat="false" ht="15.75" hidden="false" customHeight="false" outlineLevel="0" collapsed="false">
      <c r="B305" s="8"/>
    </row>
    <row r="306" customFormat="false" ht="15.75" hidden="false" customHeight="false" outlineLevel="0" collapsed="false">
      <c r="B306" s="8"/>
    </row>
    <row r="307" customFormat="false" ht="15.75" hidden="false" customHeight="false" outlineLevel="0" collapsed="false">
      <c r="B307" s="8"/>
    </row>
    <row r="308" customFormat="false" ht="15.75" hidden="false" customHeight="false" outlineLevel="0" collapsed="false">
      <c r="B308" s="8"/>
    </row>
    <row r="309" customFormat="false" ht="15.75" hidden="false" customHeight="false" outlineLevel="0" collapsed="false">
      <c r="B309" s="8"/>
    </row>
    <row r="310" customFormat="false" ht="15.75" hidden="false" customHeight="false" outlineLevel="0" collapsed="false">
      <c r="B310" s="8"/>
    </row>
    <row r="311" customFormat="false" ht="15.75" hidden="false" customHeight="false" outlineLevel="0" collapsed="false">
      <c r="B311" s="8"/>
    </row>
    <row r="312" customFormat="false" ht="15.75" hidden="false" customHeight="false" outlineLevel="0" collapsed="false">
      <c r="B312" s="8"/>
    </row>
    <row r="313" customFormat="false" ht="15.75" hidden="false" customHeight="false" outlineLevel="0" collapsed="false">
      <c r="B313" s="8"/>
    </row>
    <row r="314" customFormat="false" ht="15.75" hidden="false" customHeight="false" outlineLevel="0" collapsed="false">
      <c r="B314" s="8"/>
    </row>
    <row r="315" customFormat="false" ht="15.75" hidden="false" customHeight="false" outlineLevel="0" collapsed="false">
      <c r="B315" s="8"/>
    </row>
    <row r="316" customFormat="false" ht="15.75" hidden="false" customHeight="false" outlineLevel="0" collapsed="false">
      <c r="B316" s="8"/>
    </row>
    <row r="317" customFormat="false" ht="15.75" hidden="false" customHeight="false" outlineLevel="0" collapsed="false">
      <c r="B317" s="8"/>
    </row>
    <row r="318" customFormat="false" ht="15.75" hidden="false" customHeight="false" outlineLevel="0" collapsed="false">
      <c r="B318" s="8"/>
    </row>
    <row r="319" customFormat="false" ht="15.75" hidden="false" customHeight="false" outlineLevel="0" collapsed="false">
      <c r="B319" s="8"/>
    </row>
    <row r="320" customFormat="false" ht="15.75" hidden="false" customHeight="false" outlineLevel="0" collapsed="false">
      <c r="B320" s="8"/>
    </row>
    <row r="321" customFormat="false" ht="15.75" hidden="false" customHeight="false" outlineLevel="0" collapsed="false">
      <c r="B321" s="8"/>
    </row>
    <row r="322" customFormat="false" ht="15.75" hidden="false" customHeight="false" outlineLevel="0" collapsed="false">
      <c r="B322" s="8"/>
    </row>
    <row r="323" customFormat="false" ht="15.75" hidden="false" customHeight="false" outlineLevel="0" collapsed="false">
      <c r="B323" s="8"/>
    </row>
    <row r="324" customFormat="false" ht="15.75" hidden="false" customHeight="false" outlineLevel="0" collapsed="false">
      <c r="B324" s="8"/>
    </row>
    <row r="325" customFormat="false" ht="15.75" hidden="false" customHeight="false" outlineLevel="0" collapsed="false">
      <c r="B325" s="8"/>
    </row>
    <row r="326" customFormat="false" ht="15.75" hidden="false" customHeight="false" outlineLevel="0" collapsed="false">
      <c r="B326" s="8"/>
    </row>
    <row r="327" customFormat="false" ht="15.75" hidden="false" customHeight="false" outlineLevel="0" collapsed="false">
      <c r="B327" s="8"/>
    </row>
    <row r="328" customFormat="false" ht="15.75" hidden="false" customHeight="false" outlineLevel="0" collapsed="false">
      <c r="B328" s="8"/>
    </row>
    <row r="329" customFormat="false" ht="15.75" hidden="false" customHeight="false" outlineLevel="0" collapsed="false">
      <c r="B329" s="8"/>
    </row>
    <row r="330" customFormat="false" ht="15.75" hidden="false" customHeight="false" outlineLevel="0" collapsed="false">
      <c r="B330" s="8"/>
    </row>
    <row r="331" customFormat="false" ht="15.75" hidden="false" customHeight="false" outlineLevel="0" collapsed="false">
      <c r="B331" s="8"/>
    </row>
    <row r="332" customFormat="false" ht="15.75" hidden="false" customHeight="false" outlineLevel="0" collapsed="false">
      <c r="B332" s="8"/>
    </row>
    <row r="333" customFormat="false" ht="15.75" hidden="false" customHeight="false" outlineLevel="0" collapsed="false">
      <c r="B333" s="8"/>
    </row>
    <row r="334" customFormat="false" ht="15.75" hidden="false" customHeight="false" outlineLevel="0" collapsed="false">
      <c r="B334" s="8"/>
    </row>
    <row r="335" customFormat="false" ht="15.75" hidden="false" customHeight="false" outlineLevel="0" collapsed="false">
      <c r="B335" s="8"/>
    </row>
    <row r="336" customFormat="false" ht="15.75" hidden="false" customHeight="false" outlineLevel="0" collapsed="false">
      <c r="B336" s="8"/>
    </row>
    <row r="337" customFormat="false" ht="15.75" hidden="false" customHeight="false" outlineLevel="0" collapsed="false">
      <c r="B337" s="8"/>
    </row>
    <row r="338" customFormat="false" ht="15.75" hidden="false" customHeight="false" outlineLevel="0" collapsed="false">
      <c r="B338" s="8"/>
    </row>
    <row r="339" customFormat="false" ht="15.75" hidden="false" customHeight="false" outlineLevel="0" collapsed="false">
      <c r="B339" s="8"/>
    </row>
    <row r="340" customFormat="false" ht="15.75" hidden="false" customHeight="false" outlineLevel="0" collapsed="false">
      <c r="B340" s="8"/>
    </row>
    <row r="341" customFormat="false" ht="15.75" hidden="false" customHeight="false" outlineLevel="0" collapsed="false">
      <c r="B341" s="8"/>
    </row>
    <row r="342" customFormat="false" ht="15.75" hidden="false" customHeight="false" outlineLevel="0" collapsed="false">
      <c r="B342" s="8"/>
    </row>
    <row r="343" customFormat="false" ht="15.75" hidden="false" customHeight="false" outlineLevel="0" collapsed="false">
      <c r="B343" s="8"/>
    </row>
    <row r="344" customFormat="false" ht="15.75" hidden="false" customHeight="false" outlineLevel="0" collapsed="false">
      <c r="B344" s="8"/>
    </row>
    <row r="345" customFormat="false" ht="15.75" hidden="false" customHeight="false" outlineLevel="0" collapsed="false">
      <c r="B345" s="8"/>
    </row>
    <row r="346" customFormat="false" ht="15.75" hidden="false" customHeight="false" outlineLevel="0" collapsed="false">
      <c r="B346" s="8"/>
    </row>
    <row r="347" customFormat="false" ht="15.75" hidden="false" customHeight="false" outlineLevel="0" collapsed="false">
      <c r="B347" s="8"/>
    </row>
    <row r="348" customFormat="false" ht="15.75" hidden="false" customHeight="false" outlineLevel="0" collapsed="false">
      <c r="B348" s="8"/>
    </row>
    <row r="349" customFormat="false" ht="15.75" hidden="false" customHeight="false" outlineLevel="0" collapsed="false">
      <c r="B349" s="8"/>
    </row>
    <row r="350" customFormat="false" ht="15.75" hidden="false" customHeight="false" outlineLevel="0" collapsed="false">
      <c r="B350" s="8"/>
    </row>
    <row r="351" customFormat="false" ht="15.75" hidden="false" customHeight="false" outlineLevel="0" collapsed="false">
      <c r="B351" s="8"/>
    </row>
    <row r="352" customFormat="false" ht="15.75" hidden="false" customHeight="false" outlineLevel="0" collapsed="false">
      <c r="B352" s="8"/>
    </row>
    <row r="353" customFormat="false" ht="15.75" hidden="false" customHeight="false" outlineLevel="0" collapsed="false">
      <c r="B353" s="8"/>
    </row>
    <row r="354" customFormat="false" ht="15.75" hidden="false" customHeight="false" outlineLevel="0" collapsed="false">
      <c r="B354" s="8"/>
    </row>
    <row r="355" customFormat="false" ht="15.75" hidden="false" customHeight="false" outlineLevel="0" collapsed="false">
      <c r="B355" s="8"/>
    </row>
    <row r="356" customFormat="false" ht="15.75" hidden="false" customHeight="false" outlineLevel="0" collapsed="false">
      <c r="B356" s="8"/>
    </row>
    <row r="357" customFormat="false" ht="15.75" hidden="false" customHeight="false" outlineLevel="0" collapsed="false">
      <c r="B357" s="8"/>
    </row>
    <row r="358" customFormat="false" ht="15.75" hidden="false" customHeight="false" outlineLevel="0" collapsed="false">
      <c r="B358" s="8"/>
    </row>
    <row r="359" customFormat="false" ht="15.75" hidden="false" customHeight="false" outlineLevel="0" collapsed="false">
      <c r="B359" s="8"/>
    </row>
    <row r="360" customFormat="false" ht="15.75" hidden="false" customHeight="false" outlineLevel="0" collapsed="false">
      <c r="B360" s="8"/>
    </row>
    <row r="361" customFormat="false" ht="15.75" hidden="false" customHeight="false" outlineLevel="0" collapsed="false">
      <c r="B361" s="8"/>
    </row>
    <row r="362" customFormat="false" ht="15.75" hidden="false" customHeight="false" outlineLevel="0" collapsed="false">
      <c r="B362" s="8"/>
    </row>
    <row r="363" customFormat="false" ht="15.75" hidden="false" customHeight="false" outlineLevel="0" collapsed="false">
      <c r="B363" s="8"/>
    </row>
    <row r="364" customFormat="false" ht="15.75" hidden="false" customHeight="false" outlineLevel="0" collapsed="false">
      <c r="B364" s="8"/>
    </row>
    <row r="365" customFormat="false" ht="15.75" hidden="false" customHeight="false" outlineLevel="0" collapsed="false">
      <c r="B365" s="8"/>
    </row>
    <row r="366" customFormat="false" ht="15.75" hidden="false" customHeight="false" outlineLevel="0" collapsed="false">
      <c r="B366" s="8"/>
    </row>
    <row r="367" customFormat="false" ht="15.75" hidden="false" customHeight="false" outlineLevel="0" collapsed="false">
      <c r="B367" s="8"/>
    </row>
    <row r="368" customFormat="false" ht="15.75" hidden="false" customHeight="false" outlineLevel="0" collapsed="false">
      <c r="B368" s="8"/>
    </row>
    <row r="369" customFormat="false" ht="15.75" hidden="false" customHeight="false" outlineLevel="0" collapsed="false">
      <c r="B369" s="8"/>
    </row>
    <row r="370" customFormat="false" ht="15.75" hidden="false" customHeight="false" outlineLevel="0" collapsed="false">
      <c r="B370" s="8"/>
    </row>
    <row r="371" customFormat="false" ht="15.75" hidden="false" customHeight="false" outlineLevel="0" collapsed="false">
      <c r="B371" s="8"/>
    </row>
    <row r="372" customFormat="false" ht="15.75" hidden="false" customHeight="false" outlineLevel="0" collapsed="false">
      <c r="B372" s="8"/>
    </row>
    <row r="373" customFormat="false" ht="15.75" hidden="false" customHeight="false" outlineLevel="0" collapsed="false">
      <c r="B373" s="8"/>
    </row>
    <row r="374" customFormat="false" ht="15.75" hidden="false" customHeight="false" outlineLevel="0" collapsed="false">
      <c r="B374" s="8"/>
    </row>
    <row r="375" customFormat="false" ht="15.75" hidden="false" customHeight="false" outlineLevel="0" collapsed="false">
      <c r="B375" s="8"/>
    </row>
    <row r="376" customFormat="false" ht="15.75" hidden="false" customHeight="false" outlineLevel="0" collapsed="false">
      <c r="B376" s="8"/>
    </row>
    <row r="377" customFormat="false" ht="15.75" hidden="false" customHeight="false" outlineLevel="0" collapsed="false">
      <c r="B377" s="8"/>
    </row>
    <row r="378" customFormat="false" ht="15.75" hidden="false" customHeight="false" outlineLevel="0" collapsed="false">
      <c r="B378" s="8"/>
    </row>
    <row r="379" customFormat="false" ht="15.75" hidden="false" customHeight="false" outlineLevel="0" collapsed="false">
      <c r="B379" s="8"/>
    </row>
    <row r="380" customFormat="false" ht="15.75" hidden="false" customHeight="false" outlineLevel="0" collapsed="false">
      <c r="B380" s="8"/>
    </row>
    <row r="381" customFormat="false" ht="15.75" hidden="false" customHeight="false" outlineLevel="0" collapsed="false">
      <c r="B381" s="8"/>
    </row>
    <row r="382" customFormat="false" ht="15.75" hidden="false" customHeight="false" outlineLevel="0" collapsed="false">
      <c r="B382" s="8"/>
    </row>
    <row r="383" customFormat="false" ht="15.75" hidden="false" customHeight="false" outlineLevel="0" collapsed="false">
      <c r="B383" s="8"/>
    </row>
    <row r="384" customFormat="false" ht="15.75" hidden="false" customHeight="false" outlineLevel="0" collapsed="false">
      <c r="B384" s="8"/>
    </row>
    <row r="385" customFormat="false" ht="15.75" hidden="false" customHeight="false" outlineLevel="0" collapsed="false">
      <c r="B385" s="8"/>
    </row>
    <row r="386" customFormat="false" ht="15.75" hidden="false" customHeight="false" outlineLevel="0" collapsed="false">
      <c r="B386" s="8"/>
    </row>
    <row r="387" customFormat="false" ht="15.75" hidden="false" customHeight="false" outlineLevel="0" collapsed="false">
      <c r="B387" s="8"/>
    </row>
    <row r="388" customFormat="false" ht="15.75" hidden="false" customHeight="false" outlineLevel="0" collapsed="false">
      <c r="B388" s="8"/>
    </row>
    <row r="389" customFormat="false" ht="15.75" hidden="false" customHeight="false" outlineLevel="0" collapsed="false">
      <c r="B389" s="8"/>
    </row>
    <row r="390" customFormat="false" ht="15.75" hidden="false" customHeight="false" outlineLevel="0" collapsed="false">
      <c r="B390" s="8"/>
    </row>
    <row r="391" customFormat="false" ht="15.75" hidden="false" customHeight="false" outlineLevel="0" collapsed="false">
      <c r="B391" s="8"/>
    </row>
    <row r="392" customFormat="false" ht="15.75" hidden="false" customHeight="false" outlineLevel="0" collapsed="false">
      <c r="B392" s="8"/>
    </row>
    <row r="393" customFormat="false" ht="15.75" hidden="false" customHeight="false" outlineLevel="0" collapsed="false">
      <c r="B393" s="8"/>
    </row>
    <row r="394" customFormat="false" ht="15.75" hidden="false" customHeight="false" outlineLevel="0" collapsed="false">
      <c r="B394" s="8"/>
    </row>
    <row r="395" customFormat="false" ht="15.75" hidden="false" customHeight="false" outlineLevel="0" collapsed="false">
      <c r="B395" s="8"/>
    </row>
    <row r="396" customFormat="false" ht="15.75" hidden="false" customHeight="false" outlineLevel="0" collapsed="false">
      <c r="B396" s="8"/>
    </row>
    <row r="397" customFormat="false" ht="15.75" hidden="false" customHeight="false" outlineLevel="0" collapsed="false">
      <c r="B397" s="8"/>
    </row>
    <row r="398" customFormat="false" ht="15.75" hidden="false" customHeight="false" outlineLevel="0" collapsed="false">
      <c r="B398" s="8"/>
    </row>
    <row r="399" customFormat="false" ht="15.75" hidden="false" customHeight="false" outlineLevel="0" collapsed="false">
      <c r="B399" s="8"/>
    </row>
    <row r="400" customFormat="false" ht="15.75" hidden="false" customHeight="false" outlineLevel="0" collapsed="false">
      <c r="B400" s="8"/>
    </row>
    <row r="401" customFormat="false" ht="15.75" hidden="false" customHeight="false" outlineLevel="0" collapsed="false">
      <c r="B401" s="8"/>
    </row>
    <row r="402" customFormat="false" ht="15.75" hidden="false" customHeight="false" outlineLevel="0" collapsed="false">
      <c r="B402" s="8"/>
    </row>
    <row r="403" customFormat="false" ht="15.75" hidden="false" customHeight="false" outlineLevel="0" collapsed="false">
      <c r="B403" s="8"/>
    </row>
    <row r="404" customFormat="false" ht="15.75" hidden="false" customHeight="false" outlineLevel="0" collapsed="false">
      <c r="B404" s="8"/>
    </row>
    <row r="405" customFormat="false" ht="15.75" hidden="false" customHeight="false" outlineLevel="0" collapsed="false">
      <c r="B405" s="8"/>
    </row>
    <row r="406" customFormat="false" ht="15.75" hidden="false" customHeight="false" outlineLevel="0" collapsed="false">
      <c r="B406" s="8"/>
    </row>
    <row r="407" customFormat="false" ht="15.75" hidden="false" customHeight="false" outlineLevel="0" collapsed="false">
      <c r="B407" s="8"/>
    </row>
    <row r="408" customFormat="false" ht="15.75" hidden="false" customHeight="false" outlineLevel="0" collapsed="false">
      <c r="B408" s="8"/>
    </row>
    <row r="409" customFormat="false" ht="15.75" hidden="false" customHeight="false" outlineLevel="0" collapsed="false">
      <c r="B409" s="8"/>
    </row>
    <row r="410" customFormat="false" ht="15.75" hidden="false" customHeight="false" outlineLevel="0" collapsed="false">
      <c r="B410" s="8"/>
    </row>
    <row r="411" customFormat="false" ht="15.75" hidden="false" customHeight="false" outlineLevel="0" collapsed="false">
      <c r="B411" s="8"/>
    </row>
    <row r="412" customFormat="false" ht="15.75" hidden="false" customHeight="false" outlineLevel="0" collapsed="false">
      <c r="B412" s="8"/>
    </row>
    <row r="413" customFormat="false" ht="15.75" hidden="false" customHeight="false" outlineLevel="0" collapsed="false">
      <c r="B413" s="8"/>
    </row>
    <row r="414" customFormat="false" ht="15.75" hidden="false" customHeight="false" outlineLevel="0" collapsed="false">
      <c r="B414" s="8"/>
    </row>
    <row r="415" customFormat="false" ht="15.75" hidden="false" customHeight="false" outlineLevel="0" collapsed="false">
      <c r="B415" s="8"/>
    </row>
    <row r="416" customFormat="false" ht="15.75" hidden="false" customHeight="false" outlineLevel="0" collapsed="false">
      <c r="B416" s="8"/>
    </row>
    <row r="417" customFormat="false" ht="15.75" hidden="false" customHeight="false" outlineLevel="0" collapsed="false">
      <c r="B417" s="8"/>
    </row>
    <row r="418" customFormat="false" ht="15.75" hidden="false" customHeight="false" outlineLevel="0" collapsed="false">
      <c r="B418" s="8"/>
    </row>
    <row r="419" customFormat="false" ht="15.75" hidden="false" customHeight="false" outlineLevel="0" collapsed="false">
      <c r="B419" s="8"/>
    </row>
    <row r="420" customFormat="false" ht="15.75" hidden="false" customHeight="false" outlineLevel="0" collapsed="false">
      <c r="B420" s="8"/>
    </row>
    <row r="421" customFormat="false" ht="15.75" hidden="false" customHeight="false" outlineLevel="0" collapsed="false">
      <c r="B421" s="8"/>
    </row>
    <row r="422" customFormat="false" ht="15.75" hidden="false" customHeight="false" outlineLevel="0" collapsed="false">
      <c r="B422" s="8"/>
    </row>
    <row r="423" customFormat="false" ht="15.75" hidden="false" customHeight="false" outlineLevel="0" collapsed="false">
      <c r="B423" s="8"/>
    </row>
    <row r="424" customFormat="false" ht="15.75" hidden="false" customHeight="false" outlineLevel="0" collapsed="false">
      <c r="B424" s="8"/>
    </row>
    <row r="425" customFormat="false" ht="15.75" hidden="false" customHeight="false" outlineLevel="0" collapsed="false">
      <c r="B425" s="8"/>
    </row>
    <row r="426" customFormat="false" ht="15.75" hidden="false" customHeight="false" outlineLevel="0" collapsed="false">
      <c r="B426" s="8"/>
    </row>
    <row r="427" customFormat="false" ht="15.75" hidden="false" customHeight="false" outlineLevel="0" collapsed="false">
      <c r="B427" s="8"/>
    </row>
    <row r="428" customFormat="false" ht="15.75" hidden="false" customHeight="false" outlineLevel="0" collapsed="false">
      <c r="B428" s="8"/>
    </row>
    <row r="429" customFormat="false" ht="15.75" hidden="false" customHeight="false" outlineLevel="0" collapsed="false">
      <c r="B429" s="8"/>
    </row>
    <row r="430" customFormat="false" ht="15.75" hidden="false" customHeight="false" outlineLevel="0" collapsed="false">
      <c r="B430" s="8"/>
    </row>
    <row r="431" customFormat="false" ht="15.75" hidden="false" customHeight="false" outlineLevel="0" collapsed="false">
      <c r="B431" s="8"/>
    </row>
    <row r="432" customFormat="false" ht="15.75" hidden="false" customHeight="false" outlineLevel="0" collapsed="false">
      <c r="B432" s="8"/>
    </row>
    <row r="433" customFormat="false" ht="15.75" hidden="false" customHeight="false" outlineLevel="0" collapsed="false">
      <c r="B433" s="8"/>
    </row>
    <row r="434" customFormat="false" ht="15.75" hidden="false" customHeight="false" outlineLevel="0" collapsed="false">
      <c r="B434" s="8"/>
    </row>
    <row r="435" customFormat="false" ht="15.75" hidden="false" customHeight="false" outlineLevel="0" collapsed="false">
      <c r="B435" s="8"/>
    </row>
    <row r="436" customFormat="false" ht="15.75" hidden="false" customHeight="false" outlineLevel="0" collapsed="false">
      <c r="B436" s="8"/>
    </row>
    <row r="437" customFormat="false" ht="15.75" hidden="false" customHeight="false" outlineLevel="0" collapsed="false">
      <c r="B437" s="8"/>
    </row>
    <row r="438" customFormat="false" ht="15.75" hidden="false" customHeight="false" outlineLevel="0" collapsed="false">
      <c r="B438" s="8"/>
    </row>
    <row r="439" customFormat="false" ht="15.75" hidden="false" customHeight="false" outlineLevel="0" collapsed="false">
      <c r="B439" s="8"/>
    </row>
    <row r="440" customFormat="false" ht="15.75" hidden="false" customHeight="false" outlineLevel="0" collapsed="false">
      <c r="B440" s="8"/>
    </row>
    <row r="441" customFormat="false" ht="15.75" hidden="false" customHeight="false" outlineLevel="0" collapsed="false">
      <c r="B441" s="8"/>
    </row>
    <row r="442" customFormat="false" ht="15.75" hidden="false" customHeight="false" outlineLevel="0" collapsed="false">
      <c r="B442" s="8"/>
    </row>
    <row r="443" customFormat="false" ht="15.75" hidden="false" customHeight="false" outlineLevel="0" collapsed="false">
      <c r="B443" s="8"/>
    </row>
    <row r="444" customFormat="false" ht="15.75" hidden="false" customHeight="false" outlineLevel="0" collapsed="false">
      <c r="B444" s="8"/>
    </row>
    <row r="445" customFormat="false" ht="15.75" hidden="false" customHeight="false" outlineLevel="0" collapsed="false">
      <c r="B445" s="8"/>
    </row>
    <row r="446" customFormat="false" ht="15.75" hidden="false" customHeight="false" outlineLevel="0" collapsed="false">
      <c r="B446" s="8"/>
    </row>
    <row r="447" customFormat="false" ht="15.75" hidden="false" customHeight="false" outlineLevel="0" collapsed="false">
      <c r="B447" s="8"/>
    </row>
    <row r="448" customFormat="false" ht="15.75" hidden="false" customHeight="false" outlineLevel="0" collapsed="false">
      <c r="B448" s="8"/>
    </row>
    <row r="449" customFormat="false" ht="15.75" hidden="false" customHeight="false" outlineLevel="0" collapsed="false">
      <c r="B449" s="8"/>
    </row>
    <row r="450" customFormat="false" ht="15.75" hidden="false" customHeight="false" outlineLevel="0" collapsed="false">
      <c r="B450" s="8"/>
    </row>
    <row r="451" customFormat="false" ht="15.75" hidden="false" customHeight="false" outlineLevel="0" collapsed="false">
      <c r="B451" s="8"/>
    </row>
    <row r="452" customFormat="false" ht="15.75" hidden="false" customHeight="false" outlineLevel="0" collapsed="false">
      <c r="B452" s="8"/>
    </row>
    <row r="453" customFormat="false" ht="15.75" hidden="false" customHeight="false" outlineLevel="0" collapsed="false">
      <c r="B453" s="8"/>
    </row>
    <row r="454" customFormat="false" ht="15.75" hidden="false" customHeight="false" outlineLevel="0" collapsed="false">
      <c r="B454" s="8"/>
    </row>
    <row r="455" customFormat="false" ht="15.75" hidden="false" customHeight="false" outlineLevel="0" collapsed="false">
      <c r="B455" s="8"/>
    </row>
    <row r="456" customFormat="false" ht="15.75" hidden="false" customHeight="false" outlineLevel="0" collapsed="false">
      <c r="B456" s="8"/>
    </row>
    <row r="457" customFormat="false" ht="15.75" hidden="false" customHeight="false" outlineLevel="0" collapsed="false">
      <c r="B457" s="8"/>
    </row>
    <row r="458" customFormat="false" ht="15.75" hidden="false" customHeight="false" outlineLevel="0" collapsed="false">
      <c r="B458" s="8"/>
    </row>
    <row r="459" customFormat="false" ht="15.75" hidden="false" customHeight="false" outlineLevel="0" collapsed="false">
      <c r="B459" s="8"/>
    </row>
    <row r="460" customFormat="false" ht="15.75" hidden="false" customHeight="false" outlineLevel="0" collapsed="false">
      <c r="B460" s="8"/>
    </row>
    <row r="461" customFormat="false" ht="15.75" hidden="false" customHeight="false" outlineLevel="0" collapsed="false">
      <c r="B461" s="8"/>
    </row>
    <row r="462" customFormat="false" ht="15.75" hidden="false" customHeight="false" outlineLevel="0" collapsed="false">
      <c r="B462" s="8"/>
    </row>
    <row r="463" customFormat="false" ht="15.75" hidden="false" customHeight="false" outlineLevel="0" collapsed="false">
      <c r="B463" s="8"/>
    </row>
    <row r="464" customFormat="false" ht="15.75" hidden="false" customHeight="false" outlineLevel="0" collapsed="false">
      <c r="B464" s="8"/>
    </row>
    <row r="465" customFormat="false" ht="15.75" hidden="false" customHeight="false" outlineLevel="0" collapsed="false">
      <c r="B465" s="8"/>
    </row>
    <row r="466" customFormat="false" ht="15.75" hidden="false" customHeight="false" outlineLevel="0" collapsed="false">
      <c r="B466" s="8"/>
    </row>
    <row r="467" customFormat="false" ht="15.75" hidden="false" customHeight="false" outlineLevel="0" collapsed="false">
      <c r="B467" s="8"/>
    </row>
    <row r="468" customFormat="false" ht="15.75" hidden="false" customHeight="false" outlineLevel="0" collapsed="false">
      <c r="B468" s="8"/>
    </row>
    <row r="469" customFormat="false" ht="15.75" hidden="false" customHeight="false" outlineLevel="0" collapsed="false">
      <c r="B469" s="8"/>
    </row>
    <row r="470" customFormat="false" ht="15.75" hidden="false" customHeight="false" outlineLevel="0" collapsed="false">
      <c r="B470" s="8"/>
    </row>
    <row r="471" customFormat="false" ht="15.75" hidden="false" customHeight="false" outlineLevel="0" collapsed="false">
      <c r="B471" s="8"/>
    </row>
    <row r="472" customFormat="false" ht="15.75" hidden="false" customHeight="false" outlineLevel="0" collapsed="false">
      <c r="B472" s="8"/>
    </row>
    <row r="473" customFormat="false" ht="15.75" hidden="false" customHeight="false" outlineLevel="0" collapsed="false">
      <c r="B473" s="8"/>
    </row>
    <row r="474" customFormat="false" ht="15.75" hidden="false" customHeight="false" outlineLevel="0" collapsed="false">
      <c r="B474" s="8"/>
    </row>
    <row r="475" customFormat="false" ht="15.75" hidden="false" customHeight="false" outlineLevel="0" collapsed="false">
      <c r="B475" s="8"/>
    </row>
    <row r="476" customFormat="false" ht="15.75" hidden="false" customHeight="false" outlineLevel="0" collapsed="false">
      <c r="B476" s="8"/>
    </row>
    <row r="477" customFormat="false" ht="15.75" hidden="false" customHeight="false" outlineLevel="0" collapsed="false">
      <c r="B477" s="8"/>
    </row>
    <row r="478" customFormat="false" ht="15.75" hidden="false" customHeight="false" outlineLevel="0" collapsed="false">
      <c r="B478" s="8"/>
    </row>
    <row r="479" customFormat="false" ht="15.75" hidden="false" customHeight="false" outlineLevel="0" collapsed="false">
      <c r="B479" s="8"/>
    </row>
    <row r="480" customFormat="false" ht="15.75" hidden="false" customHeight="false" outlineLevel="0" collapsed="false">
      <c r="B480" s="8"/>
    </row>
    <row r="481" customFormat="false" ht="15.75" hidden="false" customHeight="false" outlineLevel="0" collapsed="false">
      <c r="B481" s="8"/>
    </row>
    <row r="482" customFormat="false" ht="15.75" hidden="false" customHeight="false" outlineLevel="0" collapsed="false">
      <c r="B482" s="8"/>
    </row>
    <row r="483" customFormat="false" ht="15.75" hidden="false" customHeight="false" outlineLevel="0" collapsed="false">
      <c r="B483" s="8"/>
    </row>
    <row r="484" customFormat="false" ht="15.75" hidden="false" customHeight="false" outlineLevel="0" collapsed="false">
      <c r="B484" s="8"/>
    </row>
    <row r="485" customFormat="false" ht="15.75" hidden="false" customHeight="false" outlineLevel="0" collapsed="false">
      <c r="B485" s="8"/>
    </row>
    <row r="486" customFormat="false" ht="15.75" hidden="false" customHeight="false" outlineLevel="0" collapsed="false">
      <c r="B486" s="8"/>
    </row>
    <row r="487" customFormat="false" ht="15.75" hidden="false" customHeight="false" outlineLevel="0" collapsed="false">
      <c r="B487" s="8"/>
    </row>
    <row r="488" customFormat="false" ht="15.75" hidden="false" customHeight="false" outlineLevel="0" collapsed="false">
      <c r="B488" s="8"/>
    </row>
    <row r="489" customFormat="false" ht="15.75" hidden="false" customHeight="false" outlineLevel="0" collapsed="false">
      <c r="B489" s="8"/>
    </row>
    <row r="490" customFormat="false" ht="15.75" hidden="false" customHeight="false" outlineLevel="0" collapsed="false">
      <c r="B490" s="8"/>
    </row>
    <row r="491" customFormat="false" ht="15.75" hidden="false" customHeight="false" outlineLevel="0" collapsed="false">
      <c r="B491" s="8"/>
    </row>
    <row r="492" customFormat="false" ht="15.75" hidden="false" customHeight="false" outlineLevel="0" collapsed="false">
      <c r="B492" s="8"/>
    </row>
    <row r="493" customFormat="false" ht="15.75" hidden="false" customHeight="false" outlineLevel="0" collapsed="false">
      <c r="B493" s="8"/>
    </row>
    <row r="494" customFormat="false" ht="15.75" hidden="false" customHeight="false" outlineLevel="0" collapsed="false">
      <c r="B494" s="8"/>
    </row>
    <row r="495" customFormat="false" ht="15.75" hidden="false" customHeight="false" outlineLevel="0" collapsed="false">
      <c r="B495" s="8"/>
    </row>
    <row r="496" customFormat="false" ht="15.75" hidden="false" customHeight="false" outlineLevel="0" collapsed="false">
      <c r="B496" s="8"/>
    </row>
    <row r="497" customFormat="false" ht="15.75" hidden="false" customHeight="false" outlineLevel="0" collapsed="false">
      <c r="B497" s="8"/>
    </row>
    <row r="498" customFormat="false" ht="15.75" hidden="false" customHeight="false" outlineLevel="0" collapsed="false">
      <c r="B498" s="8"/>
    </row>
    <row r="499" customFormat="false" ht="15.75" hidden="false" customHeight="false" outlineLevel="0" collapsed="false">
      <c r="B499" s="8"/>
    </row>
    <row r="500" customFormat="false" ht="15.75" hidden="false" customHeight="false" outlineLevel="0" collapsed="false">
      <c r="B500" s="8"/>
    </row>
    <row r="501" customFormat="false" ht="15.75" hidden="false" customHeight="false" outlineLevel="0" collapsed="false">
      <c r="B501" s="8"/>
    </row>
    <row r="502" customFormat="false" ht="15.75" hidden="false" customHeight="false" outlineLevel="0" collapsed="false">
      <c r="B502" s="8"/>
    </row>
    <row r="503" customFormat="false" ht="15.75" hidden="false" customHeight="false" outlineLevel="0" collapsed="false">
      <c r="B503" s="8"/>
    </row>
    <row r="504" customFormat="false" ht="15.75" hidden="false" customHeight="false" outlineLevel="0" collapsed="false">
      <c r="B504" s="8"/>
    </row>
    <row r="505" customFormat="false" ht="15.75" hidden="false" customHeight="false" outlineLevel="0" collapsed="false">
      <c r="B505" s="8"/>
    </row>
    <row r="506" customFormat="false" ht="15.75" hidden="false" customHeight="false" outlineLevel="0" collapsed="false">
      <c r="B506" s="8"/>
    </row>
    <row r="507" customFormat="false" ht="15.75" hidden="false" customHeight="false" outlineLevel="0" collapsed="false">
      <c r="B507" s="8"/>
    </row>
    <row r="508" customFormat="false" ht="15.75" hidden="false" customHeight="false" outlineLevel="0" collapsed="false">
      <c r="B508" s="8"/>
    </row>
    <row r="509" customFormat="false" ht="15.75" hidden="false" customHeight="false" outlineLevel="0" collapsed="false">
      <c r="B509" s="8"/>
    </row>
    <row r="510" customFormat="false" ht="15.75" hidden="false" customHeight="false" outlineLevel="0" collapsed="false">
      <c r="B510" s="8"/>
    </row>
    <row r="511" customFormat="false" ht="15.75" hidden="false" customHeight="false" outlineLevel="0" collapsed="false">
      <c r="B511" s="8"/>
    </row>
    <row r="512" customFormat="false" ht="15.75" hidden="false" customHeight="false" outlineLevel="0" collapsed="false">
      <c r="B512" s="8"/>
    </row>
    <row r="513" customFormat="false" ht="15.75" hidden="false" customHeight="false" outlineLevel="0" collapsed="false">
      <c r="B513" s="8"/>
    </row>
    <row r="514" customFormat="false" ht="15.75" hidden="false" customHeight="false" outlineLevel="0" collapsed="false">
      <c r="B514" s="8"/>
    </row>
    <row r="515" customFormat="false" ht="15.75" hidden="false" customHeight="false" outlineLevel="0" collapsed="false">
      <c r="B515" s="8"/>
    </row>
    <row r="516" customFormat="false" ht="15.75" hidden="false" customHeight="false" outlineLevel="0" collapsed="false">
      <c r="B516" s="8"/>
    </row>
    <row r="517" customFormat="false" ht="15.75" hidden="false" customHeight="false" outlineLevel="0" collapsed="false">
      <c r="B517" s="8"/>
    </row>
    <row r="518" customFormat="false" ht="15.75" hidden="false" customHeight="false" outlineLevel="0" collapsed="false">
      <c r="B518" s="8"/>
    </row>
    <row r="519" customFormat="false" ht="15.75" hidden="false" customHeight="false" outlineLevel="0" collapsed="false">
      <c r="B519" s="8"/>
    </row>
    <row r="520" customFormat="false" ht="15.75" hidden="false" customHeight="false" outlineLevel="0" collapsed="false">
      <c r="B520" s="8"/>
    </row>
    <row r="521" customFormat="false" ht="15.75" hidden="false" customHeight="false" outlineLevel="0" collapsed="false">
      <c r="B521" s="8"/>
    </row>
    <row r="522" customFormat="false" ht="15.75" hidden="false" customHeight="false" outlineLevel="0" collapsed="false">
      <c r="B522" s="8"/>
    </row>
    <row r="523" customFormat="false" ht="15.75" hidden="false" customHeight="false" outlineLevel="0" collapsed="false">
      <c r="B523" s="8"/>
    </row>
    <row r="524" customFormat="false" ht="15.75" hidden="false" customHeight="false" outlineLevel="0" collapsed="false">
      <c r="B524" s="8"/>
    </row>
    <row r="525" customFormat="false" ht="15.75" hidden="false" customHeight="false" outlineLevel="0" collapsed="false">
      <c r="B525" s="8"/>
    </row>
    <row r="526" customFormat="false" ht="15.75" hidden="false" customHeight="false" outlineLevel="0" collapsed="false">
      <c r="B526" s="8"/>
    </row>
    <row r="527" customFormat="false" ht="15.75" hidden="false" customHeight="false" outlineLevel="0" collapsed="false">
      <c r="B527" s="8"/>
    </row>
    <row r="528" customFormat="false" ht="15.75" hidden="false" customHeight="false" outlineLevel="0" collapsed="false">
      <c r="B528" s="8"/>
    </row>
    <row r="529" customFormat="false" ht="15.75" hidden="false" customHeight="false" outlineLevel="0" collapsed="false">
      <c r="B529" s="8"/>
    </row>
    <row r="530" customFormat="false" ht="15.75" hidden="false" customHeight="false" outlineLevel="0" collapsed="false">
      <c r="B530" s="8"/>
    </row>
    <row r="531" customFormat="false" ht="15.75" hidden="false" customHeight="false" outlineLevel="0" collapsed="false">
      <c r="B531" s="8"/>
    </row>
    <row r="532" customFormat="false" ht="15.75" hidden="false" customHeight="false" outlineLevel="0" collapsed="false">
      <c r="B532" s="8"/>
    </row>
    <row r="533" customFormat="false" ht="15.75" hidden="false" customHeight="false" outlineLevel="0" collapsed="false">
      <c r="B533" s="8"/>
    </row>
    <row r="534" customFormat="false" ht="15.75" hidden="false" customHeight="false" outlineLevel="0" collapsed="false">
      <c r="B534" s="8"/>
    </row>
    <row r="535" customFormat="false" ht="15.75" hidden="false" customHeight="false" outlineLevel="0" collapsed="false">
      <c r="B535" s="8"/>
    </row>
    <row r="536" customFormat="false" ht="15.75" hidden="false" customHeight="false" outlineLevel="0" collapsed="false">
      <c r="B536" s="8"/>
    </row>
    <row r="537" customFormat="false" ht="15.75" hidden="false" customHeight="false" outlineLevel="0" collapsed="false">
      <c r="B537" s="8"/>
    </row>
    <row r="538" customFormat="false" ht="15.75" hidden="false" customHeight="false" outlineLevel="0" collapsed="false">
      <c r="B538" s="8"/>
    </row>
    <row r="539" customFormat="false" ht="15.75" hidden="false" customHeight="false" outlineLevel="0" collapsed="false">
      <c r="B539" s="8"/>
    </row>
    <row r="540" customFormat="false" ht="15.75" hidden="false" customHeight="false" outlineLevel="0" collapsed="false">
      <c r="B540" s="8"/>
    </row>
    <row r="541" customFormat="false" ht="15.75" hidden="false" customHeight="false" outlineLevel="0" collapsed="false">
      <c r="B541" s="8"/>
    </row>
    <row r="542" customFormat="false" ht="15.75" hidden="false" customHeight="false" outlineLevel="0" collapsed="false">
      <c r="B542" s="8"/>
    </row>
    <row r="543" customFormat="false" ht="15.75" hidden="false" customHeight="false" outlineLevel="0" collapsed="false">
      <c r="B543" s="8"/>
    </row>
    <row r="544" customFormat="false" ht="15.75" hidden="false" customHeight="false" outlineLevel="0" collapsed="false">
      <c r="B544" s="8"/>
    </row>
    <row r="545" customFormat="false" ht="15.75" hidden="false" customHeight="false" outlineLevel="0" collapsed="false">
      <c r="B545" s="8"/>
    </row>
    <row r="546" customFormat="false" ht="15.75" hidden="false" customHeight="false" outlineLevel="0" collapsed="false">
      <c r="B546" s="8"/>
    </row>
    <row r="547" customFormat="false" ht="15.75" hidden="false" customHeight="false" outlineLevel="0" collapsed="false">
      <c r="B547" s="8"/>
    </row>
    <row r="548" customFormat="false" ht="15.75" hidden="false" customHeight="false" outlineLevel="0" collapsed="false">
      <c r="B548" s="8"/>
    </row>
    <row r="549" customFormat="false" ht="15.75" hidden="false" customHeight="false" outlineLevel="0" collapsed="false">
      <c r="B549" s="8"/>
    </row>
    <row r="550" customFormat="false" ht="15.75" hidden="false" customHeight="false" outlineLevel="0" collapsed="false">
      <c r="B550" s="8"/>
    </row>
    <row r="551" customFormat="false" ht="15.75" hidden="false" customHeight="false" outlineLevel="0" collapsed="false">
      <c r="B551" s="8"/>
    </row>
    <row r="552" customFormat="false" ht="15.75" hidden="false" customHeight="false" outlineLevel="0" collapsed="false">
      <c r="B552" s="8"/>
    </row>
    <row r="553" customFormat="false" ht="15.75" hidden="false" customHeight="false" outlineLevel="0" collapsed="false">
      <c r="B553" s="8"/>
    </row>
    <row r="554" customFormat="false" ht="15.75" hidden="false" customHeight="false" outlineLevel="0" collapsed="false">
      <c r="B554" s="8"/>
    </row>
    <row r="555" customFormat="false" ht="15.75" hidden="false" customHeight="false" outlineLevel="0" collapsed="false">
      <c r="B555" s="8"/>
    </row>
    <row r="556" customFormat="false" ht="15.75" hidden="false" customHeight="false" outlineLevel="0" collapsed="false">
      <c r="B556" s="8"/>
    </row>
    <row r="557" customFormat="false" ht="15.75" hidden="false" customHeight="false" outlineLevel="0" collapsed="false">
      <c r="B557" s="8"/>
    </row>
    <row r="558" customFormat="false" ht="15.75" hidden="false" customHeight="false" outlineLevel="0" collapsed="false">
      <c r="B558" s="8"/>
    </row>
    <row r="559" customFormat="false" ht="15.75" hidden="false" customHeight="false" outlineLevel="0" collapsed="false">
      <c r="B559" s="8"/>
    </row>
    <row r="560" customFormat="false" ht="15.75" hidden="false" customHeight="false" outlineLevel="0" collapsed="false">
      <c r="B560" s="8"/>
    </row>
    <row r="561" customFormat="false" ht="15.75" hidden="false" customHeight="false" outlineLevel="0" collapsed="false">
      <c r="B561" s="8"/>
    </row>
    <row r="562" customFormat="false" ht="15.75" hidden="false" customHeight="false" outlineLevel="0" collapsed="false">
      <c r="B562" s="8"/>
    </row>
    <row r="563" customFormat="false" ht="15.75" hidden="false" customHeight="false" outlineLevel="0" collapsed="false">
      <c r="B563" s="8"/>
    </row>
    <row r="564" customFormat="false" ht="15.75" hidden="false" customHeight="false" outlineLevel="0" collapsed="false">
      <c r="B564" s="8"/>
    </row>
    <row r="565" customFormat="false" ht="15.75" hidden="false" customHeight="false" outlineLevel="0" collapsed="false">
      <c r="B565" s="8"/>
    </row>
    <row r="566" customFormat="false" ht="15.75" hidden="false" customHeight="false" outlineLevel="0" collapsed="false">
      <c r="B566" s="8"/>
    </row>
    <row r="567" customFormat="false" ht="15.75" hidden="false" customHeight="false" outlineLevel="0" collapsed="false">
      <c r="B567" s="8"/>
    </row>
    <row r="568" customFormat="false" ht="15.75" hidden="false" customHeight="false" outlineLevel="0" collapsed="false">
      <c r="B568" s="8"/>
    </row>
    <row r="569" customFormat="false" ht="15.75" hidden="false" customHeight="false" outlineLevel="0" collapsed="false">
      <c r="B569" s="8"/>
    </row>
    <row r="570" customFormat="false" ht="15.75" hidden="false" customHeight="false" outlineLevel="0" collapsed="false">
      <c r="B570" s="8"/>
    </row>
    <row r="571" customFormat="false" ht="15.75" hidden="false" customHeight="false" outlineLevel="0" collapsed="false">
      <c r="B571" s="8"/>
    </row>
    <row r="572" customFormat="false" ht="15.75" hidden="false" customHeight="false" outlineLevel="0" collapsed="false">
      <c r="B572" s="8"/>
    </row>
    <row r="573" customFormat="false" ht="15.75" hidden="false" customHeight="false" outlineLevel="0" collapsed="false">
      <c r="B573" s="8"/>
    </row>
    <row r="574" customFormat="false" ht="15.75" hidden="false" customHeight="false" outlineLevel="0" collapsed="false">
      <c r="B574" s="8"/>
    </row>
    <row r="575" customFormat="false" ht="15.75" hidden="false" customHeight="false" outlineLevel="0" collapsed="false">
      <c r="B575" s="8"/>
    </row>
    <row r="576" customFormat="false" ht="15.75" hidden="false" customHeight="false" outlineLevel="0" collapsed="false">
      <c r="B576" s="8"/>
    </row>
    <row r="577" customFormat="false" ht="15.75" hidden="false" customHeight="false" outlineLevel="0" collapsed="false">
      <c r="B577" s="8"/>
    </row>
    <row r="578" customFormat="false" ht="15.75" hidden="false" customHeight="false" outlineLevel="0" collapsed="false">
      <c r="B578" s="8"/>
    </row>
    <row r="579" customFormat="false" ht="15.75" hidden="false" customHeight="false" outlineLevel="0" collapsed="false">
      <c r="B579" s="8"/>
    </row>
    <row r="580" customFormat="false" ht="15.75" hidden="false" customHeight="false" outlineLevel="0" collapsed="false">
      <c r="B580" s="8"/>
    </row>
    <row r="581" customFormat="false" ht="15.75" hidden="false" customHeight="false" outlineLevel="0" collapsed="false">
      <c r="B581" s="8"/>
    </row>
    <row r="582" customFormat="false" ht="15.75" hidden="false" customHeight="false" outlineLevel="0" collapsed="false">
      <c r="B582" s="8"/>
    </row>
    <row r="583" customFormat="false" ht="15.75" hidden="false" customHeight="false" outlineLevel="0" collapsed="false">
      <c r="B583" s="8"/>
    </row>
    <row r="584" customFormat="false" ht="15.75" hidden="false" customHeight="false" outlineLevel="0" collapsed="false">
      <c r="B584" s="8"/>
    </row>
    <row r="585" customFormat="false" ht="15.75" hidden="false" customHeight="false" outlineLevel="0" collapsed="false">
      <c r="B585" s="8"/>
    </row>
    <row r="586" customFormat="false" ht="15.75" hidden="false" customHeight="false" outlineLevel="0" collapsed="false">
      <c r="B586" s="8"/>
    </row>
    <row r="587" customFormat="false" ht="15.75" hidden="false" customHeight="false" outlineLevel="0" collapsed="false">
      <c r="B587" s="8"/>
    </row>
    <row r="588" customFormat="false" ht="15.75" hidden="false" customHeight="false" outlineLevel="0" collapsed="false">
      <c r="B588" s="8"/>
    </row>
    <row r="589" customFormat="false" ht="15.75" hidden="false" customHeight="false" outlineLevel="0" collapsed="false">
      <c r="B589" s="8"/>
    </row>
    <row r="590" customFormat="false" ht="15.75" hidden="false" customHeight="false" outlineLevel="0" collapsed="false">
      <c r="B590" s="8"/>
    </row>
    <row r="591" customFormat="false" ht="15.75" hidden="false" customHeight="false" outlineLevel="0" collapsed="false">
      <c r="B591" s="8"/>
    </row>
    <row r="592" customFormat="false" ht="15.75" hidden="false" customHeight="false" outlineLevel="0" collapsed="false">
      <c r="B592" s="8"/>
    </row>
    <row r="593" customFormat="false" ht="15.75" hidden="false" customHeight="false" outlineLevel="0" collapsed="false">
      <c r="B593" s="8"/>
    </row>
    <row r="594" customFormat="false" ht="15.75" hidden="false" customHeight="false" outlineLevel="0" collapsed="false">
      <c r="B594" s="8"/>
    </row>
    <row r="595" customFormat="false" ht="15.75" hidden="false" customHeight="false" outlineLevel="0" collapsed="false">
      <c r="B595" s="8"/>
    </row>
    <row r="596" customFormat="false" ht="15.75" hidden="false" customHeight="false" outlineLevel="0" collapsed="false">
      <c r="B596" s="8"/>
    </row>
    <row r="597" customFormat="false" ht="15.75" hidden="false" customHeight="false" outlineLevel="0" collapsed="false">
      <c r="B597" s="8"/>
    </row>
    <row r="598" customFormat="false" ht="15.75" hidden="false" customHeight="false" outlineLevel="0" collapsed="false">
      <c r="B598" s="8"/>
    </row>
    <row r="599" customFormat="false" ht="15.75" hidden="false" customHeight="false" outlineLevel="0" collapsed="false">
      <c r="B599" s="8"/>
    </row>
    <row r="600" customFormat="false" ht="15.75" hidden="false" customHeight="false" outlineLevel="0" collapsed="false">
      <c r="B600" s="8"/>
    </row>
    <row r="601" customFormat="false" ht="15.75" hidden="false" customHeight="false" outlineLevel="0" collapsed="false">
      <c r="B601" s="8"/>
    </row>
    <row r="602" customFormat="false" ht="15.75" hidden="false" customHeight="false" outlineLevel="0" collapsed="false">
      <c r="B602" s="8"/>
    </row>
    <row r="603" customFormat="false" ht="15.75" hidden="false" customHeight="false" outlineLevel="0" collapsed="false">
      <c r="B603" s="8"/>
    </row>
    <row r="604" customFormat="false" ht="15.75" hidden="false" customHeight="false" outlineLevel="0" collapsed="false">
      <c r="B604" s="8"/>
    </row>
    <row r="605" customFormat="false" ht="15.75" hidden="false" customHeight="false" outlineLevel="0" collapsed="false">
      <c r="B605" s="8"/>
    </row>
    <row r="606" customFormat="false" ht="15.75" hidden="false" customHeight="false" outlineLevel="0" collapsed="false">
      <c r="B606" s="8"/>
    </row>
    <row r="607" customFormat="false" ht="15.75" hidden="false" customHeight="false" outlineLevel="0" collapsed="false">
      <c r="B607" s="8"/>
    </row>
    <row r="608" customFormat="false" ht="15.75" hidden="false" customHeight="false" outlineLevel="0" collapsed="false">
      <c r="B608" s="8"/>
    </row>
    <row r="609" customFormat="false" ht="15.75" hidden="false" customHeight="false" outlineLevel="0" collapsed="false">
      <c r="B609" s="8"/>
    </row>
    <row r="610" customFormat="false" ht="15.75" hidden="false" customHeight="false" outlineLevel="0" collapsed="false">
      <c r="B610" s="8"/>
    </row>
    <row r="611" customFormat="false" ht="15.75" hidden="false" customHeight="false" outlineLevel="0" collapsed="false">
      <c r="B611" s="8"/>
    </row>
    <row r="612" customFormat="false" ht="15.75" hidden="false" customHeight="false" outlineLevel="0" collapsed="false">
      <c r="B612" s="8"/>
    </row>
    <row r="613" customFormat="false" ht="15.75" hidden="false" customHeight="false" outlineLevel="0" collapsed="false">
      <c r="B613" s="8"/>
    </row>
    <row r="614" customFormat="false" ht="15.75" hidden="false" customHeight="false" outlineLevel="0" collapsed="false">
      <c r="B614" s="8"/>
    </row>
    <row r="615" customFormat="false" ht="15.75" hidden="false" customHeight="false" outlineLevel="0" collapsed="false">
      <c r="B615" s="8"/>
    </row>
    <row r="616" customFormat="false" ht="15.75" hidden="false" customHeight="false" outlineLevel="0" collapsed="false">
      <c r="B616" s="8"/>
    </row>
    <row r="617" customFormat="false" ht="15.75" hidden="false" customHeight="false" outlineLevel="0" collapsed="false">
      <c r="B617" s="8"/>
    </row>
    <row r="618" customFormat="false" ht="15.75" hidden="false" customHeight="false" outlineLevel="0" collapsed="false">
      <c r="B618" s="8"/>
    </row>
    <row r="619" customFormat="false" ht="15.75" hidden="false" customHeight="false" outlineLevel="0" collapsed="false">
      <c r="B619" s="8"/>
    </row>
    <row r="620" customFormat="false" ht="15.75" hidden="false" customHeight="false" outlineLevel="0" collapsed="false">
      <c r="B620" s="8"/>
    </row>
    <row r="621" customFormat="false" ht="15.75" hidden="false" customHeight="false" outlineLevel="0" collapsed="false">
      <c r="B621" s="8"/>
    </row>
    <row r="622" customFormat="false" ht="15.75" hidden="false" customHeight="false" outlineLevel="0" collapsed="false">
      <c r="B622" s="8"/>
    </row>
    <row r="623" customFormat="false" ht="15.75" hidden="false" customHeight="false" outlineLevel="0" collapsed="false">
      <c r="B623" s="8"/>
    </row>
    <row r="624" customFormat="false" ht="15.75" hidden="false" customHeight="false" outlineLevel="0" collapsed="false">
      <c r="B624" s="8"/>
    </row>
    <row r="625" customFormat="false" ht="15.75" hidden="false" customHeight="false" outlineLevel="0" collapsed="false">
      <c r="B625" s="8"/>
    </row>
    <row r="626" customFormat="false" ht="15.75" hidden="false" customHeight="false" outlineLevel="0" collapsed="false">
      <c r="B626" s="8"/>
    </row>
    <row r="627" customFormat="false" ht="15.75" hidden="false" customHeight="false" outlineLevel="0" collapsed="false">
      <c r="B627" s="8"/>
    </row>
    <row r="628" customFormat="false" ht="15.75" hidden="false" customHeight="false" outlineLevel="0" collapsed="false">
      <c r="B628" s="8"/>
    </row>
    <row r="629" customFormat="false" ht="15.75" hidden="false" customHeight="false" outlineLevel="0" collapsed="false">
      <c r="B629" s="8"/>
    </row>
    <row r="630" customFormat="false" ht="15.75" hidden="false" customHeight="false" outlineLevel="0" collapsed="false">
      <c r="B630" s="8"/>
    </row>
    <row r="631" customFormat="false" ht="15.75" hidden="false" customHeight="false" outlineLevel="0" collapsed="false">
      <c r="B631" s="8"/>
    </row>
    <row r="632" customFormat="false" ht="15.75" hidden="false" customHeight="false" outlineLevel="0" collapsed="false">
      <c r="B632" s="8"/>
    </row>
    <row r="633" customFormat="false" ht="15.75" hidden="false" customHeight="false" outlineLevel="0" collapsed="false">
      <c r="B633" s="8"/>
    </row>
    <row r="634" customFormat="false" ht="15.75" hidden="false" customHeight="false" outlineLevel="0" collapsed="false">
      <c r="B634" s="8"/>
    </row>
    <row r="635" customFormat="false" ht="15.75" hidden="false" customHeight="false" outlineLevel="0" collapsed="false">
      <c r="B635" s="8"/>
    </row>
    <row r="636" customFormat="false" ht="15.75" hidden="false" customHeight="false" outlineLevel="0" collapsed="false">
      <c r="B636" s="8"/>
    </row>
    <row r="637" customFormat="false" ht="15.75" hidden="false" customHeight="false" outlineLevel="0" collapsed="false">
      <c r="B637" s="8"/>
    </row>
    <row r="638" customFormat="false" ht="15.75" hidden="false" customHeight="false" outlineLevel="0" collapsed="false">
      <c r="B638" s="8"/>
    </row>
    <row r="639" customFormat="false" ht="15.75" hidden="false" customHeight="false" outlineLevel="0" collapsed="false">
      <c r="B639" s="8"/>
    </row>
    <row r="640" customFormat="false" ht="15.75" hidden="false" customHeight="false" outlineLevel="0" collapsed="false">
      <c r="B640" s="8"/>
    </row>
    <row r="641" customFormat="false" ht="15.75" hidden="false" customHeight="false" outlineLevel="0" collapsed="false">
      <c r="B641" s="8"/>
    </row>
    <row r="642" customFormat="false" ht="15.75" hidden="false" customHeight="false" outlineLevel="0" collapsed="false">
      <c r="B642" s="8"/>
    </row>
    <row r="643" customFormat="false" ht="15.75" hidden="false" customHeight="false" outlineLevel="0" collapsed="false">
      <c r="B643" s="8"/>
    </row>
    <row r="644" customFormat="false" ht="15.75" hidden="false" customHeight="false" outlineLevel="0" collapsed="false">
      <c r="B644" s="8"/>
    </row>
    <row r="645" customFormat="false" ht="15.75" hidden="false" customHeight="false" outlineLevel="0" collapsed="false">
      <c r="B645" s="8"/>
    </row>
    <row r="646" customFormat="false" ht="15.75" hidden="false" customHeight="false" outlineLevel="0" collapsed="false">
      <c r="B646" s="8"/>
    </row>
    <row r="647" customFormat="false" ht="15.75" hidden="false" customHeight="false" outlineLevel="0" collapsed="false">
      <c r="B647" s="8"/>
    </row>
    <row r="648" customFormat="false" ht="15.75" hidden="false" customHeight="false" outlineLevel="0" collapsed="false">
      <c r="B648" s="8"/>
    </row>
    <row r="649" customFormat="false" ht="15.75" hidden="false" customHeight="false" outlineLevel="0" collapsed="false">
      <c r="B649" s="8"/>
    </row>
    <row r="650" customFormat="false" ht="15.75" hidden="false" customHeight="false" outlineLevel="0" collapsed="false">
      <c r="B650" s="8"/>
    </row>
    <row r="651" customFormat="false" ht="15.75" hidden="false" customHeight="false" outlineLevel="0" collapsed="false">
      <c r="B651" s="8"/>
    </row>
    <row r="652" customFormat="false" ht="15.75" hidden="false" customHeight="false" outlineLevel="0" collapsed="false">
      <c r="B652" s="8"/>
    </row>
    <row r="653" customFormat="false" ht="15.75" hidden="false" customHeight="false" outlineLevel="0" collapsed="false">
      <c r="B653" s="8"/>
    </row>
    <row r="654" customFormat="false" ht="15.75" hidden="false" customHeight="false" outlineLevel="0" collapsed="false">
      <c r="B654" s="8"/>
    </row>
    <row r="655" customFormat="false" ht="15.75" hidden="false" customHeight="false" outlineLevel="0" collapsed="false">
      <c r="B655" s="8"/>
    </row>
    <row r="656" customFormat="false" ht="15.75" hidden="false" customHeight="false" outlineLevel="0" collapsed="false">
      <c r="B656" s="8"/>
    </row>
    <row r="657" customFormat="false" ht="15.75" hidden="false" customHeight="false" outlineLevel="0" collapsed="false">
      <c r="B657" s="8"/>
    </row>
    <row r="658" customFormat="false" ht="15.75" hidden="false" customHeight="false" outlineLevel="0" collapsed="false">
      <c r="B658" s="8"/>
    </row>
    <row r="659" customFormat="false" ht="15.75" hidden="false" customHeight="false" outlineLevel="0" collapsed="false">
      <c r="B659" s="8"/>
    </row>
    <row r="660" customFormat="false" ht="15.75" hidden="false" customHeight="false" outlineLevel="0" collapsed="false">
      <c r="B660" s="8"/>
    </row>
    <row r="661" customFormat="false" ht="15.75" hidden="false" customHeight="false" outlineLevel="0" collapsed="false">
      <c r="B661" s="8"/>
    </row>
    <row r="662" customFormat="false" ht="15.75" hidden="false" customHeight="false" outlineLevel="0" collapsed="false">
      <c r="B662" s="8"/>
    </row>
    <row r="663" customFormat="false" ht="15.75" hidden="false" customHeight="false" outlineLevel="0" collapsed="false">
      <c r="B663" s="8"/>
    </row>
    <row r="664" customFormat="false" ht="15.75" hidden="false" customHeight="false" outlineLevel="0" collapsed="false">
      <c r="B664" s="8"/>
    </row>
    <row r="665" customFormat="false" ht="15.75" hidden="false" customHeight="false" outlineLevel="0" collapsed="false">
      <c r="B665" s="8"/>
    </row>
    <row r="666" customFormat="false" ht="15.75" hidden="false" customHeight="false" outlineLevel="0" collapsed="false">
      <c r="B666" s="8"/>
    </row>
    <row r="667" customFormat="false" ht="15.75" hidden="false" customHeight="false" outlineLevel="0" collapsed="false">
      <c r="B667" s="8"/>
    </row>
    <row r="668" customFormat="false" ht="15.75" hidden="false" customHeight="false" outlineLevel="0" collapsed="false">
      <c r="B668" s="8"/>
    </row>
    <row r="669" customFormat="false" ht="15.75" hidden="false" customHeight="false" outlineLevel="0" collapsed="false">
      <c r="B669" s="8"/>
    </row>
    <row r="670" customFormat="false" ht="15.75" hidden="false" customHeight="false" outlineLevel="0" collapsed="false">
      <c r="B670" s="8"/>
    </row>
    <row r="671" customFormat="false" ht="15.75" hidden="false" customHeight="false" outlineLevel="0" collapsed="false">
      <c r="B671" s="8"/>
    </row>
    <row r="672" customFormat="false" ht="15.75" hidden="false" customHeight="false" outlineLevel="0" collapsed="false">
      <c r="B672" s="8"/>
    </row>
    <row r="673" customFormat="false" ht="15.75" hidden="false" customHeight="false" outlineLevel="0" collapsed="false">
      <c r="B673" s="8"/>
    </row>
    <row r="674" customFormat="false" ht="15.75" hidden="false" customHeight="false" outlineLevel="0" collapsed="false">
      <c r="B674" s="8"/>
    </row>
    <row r="675" customFormat="false" ht="15.75" hidden="false" customHeight="false" outlineLevel="0" collapsed="false">
      <c r="B675" s="8"/>
    </row>
    <row r="676" customFormat="false" ht="15.75" hidden="false" customHeight="false" outlineLevel="0" collapsed="false">
      <c r="B676" s="8"/>
    </row>
    <row r="677" customFormat="false" ht="15.75" hidden="false" customHeight="false" outlineLevel="0" collapsed="false">
      <c r="B677" s="8"/>
    </row>
    <row r="678" customFormat="false" ht="15.75" hidden="false" customHeight="false" outlineLevel="0" collapsed="false">
      <c r="B678" s="8"/>
    </row>
    <row r="679" customFormat="false" ht="15.75" hidden="false" customHeight="false" outlineLevel="0" collapsed="false">
      <c r="B679" s="8"/>
    </row>
    <row r="680" customFormat="false" ht="15.75" hidden="false" customHeight="false" outlineLevel="0" collapsed="false">
      <c r="B680" s="8"/>
    </row>
    <row r="681" customFormat="false" ht="15.75" hidden="false" customHeight="false" outlineLevel="0" collapsed="false">
      <c r="B681" s="8"/>
    </row>
    <row r="682" customFormat="false" ht="15.75" hidden="false" customHeight="false" outlineLevel="0" collapsed="false">
      <c r="B682" s="8"/>
    </row>
    <row r="683" customFormat="false" ht="15.75" hidden="false" customHeight="false" outlineLevel="0" collapsed="false">
      <c r="B683" s="8"/>
    </row>
    <row r="684" customFormat="false" ht="15.75" hidden="false" customHeight="false" outlineLevel="0" collapsed="false">
      <c r="B684" s="8"/>
    </row>
    <row r="685" customFormat="false" ht="15.75" hidden="false" customHeight="false" outlineLevel="0" collapsed="false">
      <c r="B685" s="8"/>
    </row>
    <row r="686" customFormat="false" ht="15.75" hidden="false" customHeight="false" outlineLevel="0" collapsed="false">
      <c r="B686" s="8"/>
    </row>
    <row r="687" customFormat="false" ht="15.75" hidden="false" customHeight="false" outlineLevel="0" collapsed="false">
      <c r="B687" s="8"/>
    </row>
    <row r="688" customFormat="false" ht="15.75" hidden="false" customHeight="false" outlineLevel="0" collapsed="false">
      <c r="B688" s="8"/>
    </row>
    <row r="689" customFormat="false" ht="15.75" hidden="false" customHeight="false" outlineLevel="0" collapsed="false">
      <c r="B689" s="8"/>
    </row>
    <row r="690" customFormat="false" ht="15.75" hidden="false" customHeight="false" outlineLevel="0" collapsed="false">
      <c r="B690" s="8"/>
    </row>
    <row r="691" customFormat="false" ht="15.75" hidden="false" customHeight="false" outlineLevel="0" collapsed="false">
      <c r="B691" s="8"/>
    </row>
    <row r="692" customFormat="false" ht="15.75" hidden="false" customHeight="false" outlineLevel="0" collapsed="false">
      <c r="B692" s="8"/>
    </row>
    <row r="693" customFormat="false" ht="15.75" hidden="false" customHeight="false" outlineLevel="0" collapsed="false">
      <c r="B693" s="8"/>
    </row>
    <row r="694" customFormat="false" ht="15.75" hidden="false" customHeight="false" outlineLevel="0" collapsed="false">
      <c r="B694" s="8"/>
    </row>
    <row r="695" customFormat="false" ht="15.75" hidden="false" customHeight="false" outlineLevel="0" collapsed="false">
      <c r="B695" s="8"/>
    </row>
    <row r="696" customFormat="false" ht="15.75" hidden="false" customHeight="false" outlineLevel="0" collapsed="false">
      <c r="B696" s="8"/>
    </row>
    <row r="697" customFormat="false" ht="15.75" hidden="false" customHeight="false" outlineLevel="0" collapsed="false">
      <c r="B697" s="8"/>
    </row>
    <row r="698" customFormat="false" ht="15.75" hidden="false" customHeight="false" outlineLevel="0" collapsed="false">
      <c r="B698" s="8"/>
    </row>
    <row r="699" customFormat="false" ht="15.75" hidden="false" customHeight="false" outlineLevel="0" collapsed="false">
      <c r="B699" s="8"/>
    </row>
    <row r="700" customFormat="false" ht="15.75" hidden="false" customHeight="false" outlineLevel="0" collapsed="false">
      <c r="B700" s="8"/>
    </row>
    <row r="701" customFormat="false" ht="15.75" hidden="false" customHeight="false" outlineLevel="0" collapsed="false">
      <c r="B701" s="8"/>
    </row>
    <row r="702" customFormat="false" ht="15.75" hidden="false" customHeight="false" outlineLevel="0" collapsed="false">
      <c r="B702" s="8"/>
    </row>
    <row r="703" customFormat="false" ht="15.75" hidden="false" customHeight="false" outlineLevel="0" collapsed="false">
      <c r="B703" s="8"/>
    </row>
    <row r="704" customFormat="false" ht="15.75" hidden="false" customHeight="false" outlineLevel="0" collapsed="false">
      <c r="B704" s="8"/>
    </row>
    <row r="705" customFormat="false" ht="15.75" hidden="false" customHeight="false" outlineLevel="0" collapsed="false">
      <c r="B705" s="8"/>
    </row>
    <row r="706" customFormat="false" ht="15.75" hidden="false" customHeight="false" outlineLevel="0" collapsed="false">
      <c r="B706" s="8"/>
    </row>
    <row r="707" customFormat="false" ht="15.75" hidden="false" customHeight="false" outlineLevel="0" collapsed="false">
      <c r="B707" s="8"/>
    </row>
    <row r="708" customFormat="false" ht="15.75" hidden="false" customHeight="false" outlineLevel="0" collapsed="false">
      <c r="B708" s="8"/>
    </row>
    <row r="709" customFormat="false" ht="15.75" hidden="false" customHeight="false" outlineLevel="0" collapsed="false">
      <c r="B709" s="8"/>
    </row>
    <row r="710" customFormat="false" ht="15.75" hidden="false" customHeight="false" outlineLevel="0" collapsed="false">
      <c r="B710" s="8"/>
    </row>
    <row r="711" customFormat="false" ht="15.75" hidden="false" customHeight="false" outlineLevel="0" collapsed="false">
      <c r="B711" s="8"/>
    </row>
    <row r="712" customFormat="false" ht="15.75" hidden="false" customHeight="false" outlineLevel="0" collapsed="false">
      <c r="B712" s="8"/>
    </row>
    <row r="713" customFormat="false" ht="15.75" hidden="false" customHeight="false" outlineLevel="0" collapsed="false">
      <c r="B713" s="8"/>
    </row>
    <row r="714" customFormat="false" ht="15.75" hidden="false" customHeight="false" outlineLevel="0" collapsed="false">
      <c r="B714" s="8"/>
    </row>
    <row r="715" customFormat="false" ht="15.75" hidden="false" customHeight="false" outlineLevel="0" collapsed="false">
      <c r="B715" s="8"/>
    </row>
    <row r="716" customFormat="false" ht="15.75" hidden="false" customHeight="false" outlineLevel="0" collapsed="false">
      <c r="B716" s="8"/>
    </row>
    <row r="717" customFormat="false" ht="15.75" hidden="false" customHeight="false" outlineLevel="0" collapsed="false">
      <c r="B717" s="8"/>
    </row>
    <row r="718" customFormat="false" ht="15.75" hidden="false" customHeight="false" outlineLevel="0" collapsed="false">
      <c r="B718" s="8"/>
    </row>
    <row r="719" customFormat="false" ht="15.75" hidden="false" customHeight="false" outlineLevel="0" collapsed="false">
      <c r="B719" s="8"/>
    </row>
    <row r="720" customFormat="false" ht="15.75" hidden="false" customHeight="false" outlineLevel="0" collapsed="false">
      <c r="B720" s="8"/>
    </row>
    <row r="721" customFormat="false" ht="15.75" hidden="false" customHeight="false" outlineLevel="0" collapsed="false">
      <c r="B721" s="8"/>
    </row>
    <row r="722" customFormat="false" ht="15.75" hidden="false" customHeight="false" outlineLevel="0" collapsed="false">
      <c r="B722" s="8"/>
    </row>
    <row r="723" customFormat="false" ht="15.75" hidden="false" customHeight="false" outlineLevel="0" collapsed="false">
      <c r="B723" s="8"/>
    </row>
    <row r="724" customFormat="false" ht="15.75" hidden="false" customHeight="false" outlineLevel="0" collapsed="false">
      <c r="B724" s="8"/>
    </row>
    <row r="725" customFormat="false" ht="15.75" hidden="false" customHeight="false" outlineLevel="0" collapsed="false">
      <c r="B725" s="8"/>
    </row>
    <row r="726" customFormat="false" ht="15.75" hidden="false" customHeight="false" outlineLevel="0" collapsed="false">
      <c r="B726" s="8"/>
    </row>
    <row r="727" customFormat="false" ht="15.75" hidden="false" customHeight="false" outlineLevel="0" collapsed="false">
      <c r="B727" s="8"/>
    </row>
    <row r="728" customFormat="false" ht="15.75" hidden="false" customHeight="false" outlineLevel="0" collapsed="false">
      <c r="B728" s="8"/>
    </row>
    <row r="729" customFormat="false" ht="15.75" hidden="false" customHeight="false" outlineLevel="0" collapsed="false">
      <c r="B729" s="8"/>
    </row>
    <row r="730" customFormat="false" ht="15.75" hidden="false" customHeight="false" outlineLevel="0" collapsed="false">
      <c r="B730" s="8"/>
    </row>
    <row r="731" customFormat="false" ht="15.75" hidden="false" customHeight="false" outlineLevel="0" collapsed="false">
      <c r="B731" s="8"/>
    </row>
    <row r="732" customFormat="false" ht="15.75" hidden="false" customHeight="false" outlineLevel="0" collapsed="false">
      <c r="B732" s="8"/>
    </row>
    <row r="733" customFormat="false" ht="15.75" hidden="false" customHeight="false" outlineLevel="0" collapsed="false">
      <c r="B733" s="8"/>
    </row>
    <row r="734" customFormat="false" ht="15.75" hidden="false" customHeight="false" outlineLevel="0" collapsed="false">
      <c r="B734" s="8"/>
    </row>
    <row r="735" customFormat="false" ht="15.75" hidden="false" customHeight="false" outlineLevel="0" collapsed="false">
      <c r="B735" s="8"/>
    </row>
    <row r="736" customFormat="false" ht="15.75" hidden="false" customHeight="false" outlineLevel="0" collapsed="false">
      <c r="B736" s="8"/>
    </row>
    <row r="737" customFormat="false" ht="15.75" hidden="false" customHeight="false" outlineLevel="0" collapsed="false">
      <c r="B737" s="8"/>
    </row>
    <row r="738" customFormat="false" ht="15.75" hidden="false" customHeight="false" outlineLevel="0" collapsed="false">
      <c r="B738" s="8"/>
    </row>
    <row r="739" customFormat="false" ht="15.75" hidden="false" customHeight="false" outlineLevel="0" collapsed="false">
      <c r="B739" s="8"/>
    </row>
    <row r="740" customFormat="false" ht="15.75" hidden="false" customHeight="false" outlineLevel="0" collapsed="false">
      <c r="B740" s="8"/>
    </row>
    <row r="741" customFormat="false" ht="15.75" hidden="false" customHeight="false" outlineLevel="0" collapsed="false">
      <c r="B741" s="8"/>
    </row>
    <row r="742" customFormat="false" ht="15.75" hidden="false" customHeight="false" outlineLevel="0" collapsed="false">
      <c r="B742" s="8"/>
    </row>
    <row r="743" customFormat="false" ht="15.75" hidden="false" customHeight="false" outlineLevel="0" collapsed="false">
      <c r="B743" s="8"/>
    </row>
    <row r="744" customFormat="false" ht="15.75" hidden="false" customHeight="false" outlineLevel="0" collapsed="false">
      <c r="B744" s="8"/>
    </row>
    <row r="745" customFormat="false" ht="15.75" hidden="false" customHeight="false" outlineLevel="0" collapsed="false">
      <c r="B745" s="8"/>
    </row>
    <row r="746" customFormat="false" ht="15.75" hidden="false" customHeight="false" outlineLevel="0" collapsed="false">
      <c r="B746" s="8"/>
    </row>
    <row r="747" customFormat="false" ht="15.75" hidden="false" customHeight="false" outlineLevel="0" collapsed="false">
      <c r="B747" s="8"/>
    </row>
    <row r="748" customFormat="false" ht="15.75" hidden="false" customHeight="false" outlineLevel="0" collapsed="false">
      <c r="B748" s="8"/>
    </row>
    <row r="749" customFormat="false" ht="15.75" hidden="false" customHeight="false" outlineLevel="0" collapsed="false">
      <c r="B749" s="8"/>
    </row>
    <row r="750" customFormat="false" ht="15.75" hidden="false" customHeight="false" outlineLevel="0" collapsed="false">
      <c r="B750" s="8"/>
    </row>
    <row r="751" customFormat="false" ht="15.75" hidden="false" customHeight="false" outlineLevel="0" collapsed="false">
      <c r="B751" s="8"/>
    </row>
    <row r="752" customFormat="false" ht="15.75" hidden="false" customHeight="false" outlineLevel="0" collapsed="false">
      <c r="B752" s="8"/>
    </row>
    <row r="753" customFormat="false" ht="15.75" hidden="false" customHeight="false" outlineLevel="0" collapsed="false">
      <c r="B753" s="8"/>
    </row>
    <row r="754" customFormat="false" ht="15.75" hidden="false" customHeight="false" outlineLevel="0" collapsed="false">
      <c r="B754" s="8"/>
    </row>
    <row r="755" customFormat="false" ht="15.75" hidden="false" customHeight="false" outlineLevel="0" collapsed="false">
      <c r="B755" s="8"/>
    </row>
    <row r="756" customFormat="false" ht="15.75" hidden="false" customHeight="false" outlineLevel="0" collapsed="false">
      <c r="B756" s="8"/>
    </row>
    <row r="757" customFormat="false" ht="15.75" hidden="false" customHeight="false" outlineLevel="0" collapsed="false">
      <c r="B757" s="8"/>
    </row>
    <row r="758" customFormat="false" ht="15.75" hidden="false" customHeight="false" outlineLevel="0" collapsed="false">
      <c r="B758" s="8"/>
    </row>
    <row r="759" customFormat="false" ht="15.75" hidden="false" customHeight="false" outlineLevel="0" collapsed="false">
      <c r="B759" s="8"/>
    </row>
    <row r="760" customFormat="false" ht="15.75" hidden="false" customHeight="false" outlineLevel="0" collapsed="false">
      <c r="B760" s="8"/>
    </row>
    <row r="761" customFormat="false" ht="15.75" hidden="false" customHeight="false" outlineLevel="0" collapsed="false">
      <c r="B761" s="8"/>
    </row>
    <row r="762" customFormat="false" ht="15.75" hidden="false" customHeight="false" outlineLevel="0" collapsed="false">
      <c r="B762" s="8"/>
    </row>
    <row r="763" customFormat="false" ht="15.75" hidden="false" customHeight="false" outlineLevel="0" collapsed="false">
      <c r="B763" s="8"/>
    </row>
    <row r="764" customFormat="false" ht="15.75" hidden="false" customHeight="false" outlineLevel="0" collapsed="false">
      <c r="B764" s="8"/>
    </row>
    <row r="765" customFormat="false" ht="15.75" hidden="false" customHeight="false" outlineLevel="0" collapsed="false">
      <c r="B765" s="8"/>
    </row>
    <row r="766" customFormat="false" ht="15.75" hidden="false" customHeight="false" outlineLevel="0" collapsed="false">
      <c r="B766" s="8"/>
    </row>
    <row r="767" customFormat="false" ht="15.75" hidden="false" customHeight="false" outlineLevel="0" collapsed="false">
      <c r="B767" s="8"/>
    </row>
    <row r="768" customFormat="false" ht="15.75" hidden="false" customHeight="false" outlineLevel="0" collapsed="false">
      <c r="B768" s="8"/>
    </row>
    <row r="769" customFormat="false" ht="15.75" hidden="false" customHeight="false" outlineLevel="0" collapsed="false">
      <c r="B769" s="8"/>
    </row>
    <row r="770" customFormat="false" ht="15.75" hidden="false" customHeight="false" outlineLevel="0" collapsed="false">
      <c r="B770" s="8"/>
    </row>
    <row r="771" customFormat="false" ht="15.75" hidden="false" customHeight="false" outlineLevel="0" collapsed="false">
      <c r="B771" s="8"/>
    </row>
    <row r="772" customFormat="false" ht="15.75" hidden="false" customHeight="false" outlineLevel="0" collapsed="false">
      <c r="B772" s="8"/>
    </row>
    <row r="773" customFormat="false" ht="15.75" hidden="false" customHeight="false" outlineLevel="0" collapsed="false">
      <c r="B773" s="8"/>
    </row>
    <row r="774" customFormat="false" ht="15.75" hidden="false" customHeight="false" outlineLevel="0" collapsed="false">
      <c r="B774" s="8"/>
    </row>
    <row r="775" customFormat="false" ht="15.75" hidden="false" customHeight="false" outlineLevel="0" collapsed="false">
      <c r="B775" s="8"/>
    </row>
    <row r="776" customFormat="false" ht="15.75" hidden="false" customHeight="false" outlineLevel="0" collapsed="false">
      <c r="B776" s="8"/>
    </row>
    <row r="777" customFormat="false" ht="15.75" hidden="false" customHeight="false" outlineLevel="0" collapsed="false">
      <c r="B777" s="8"/>
    </row>
    <row r="778" customFormat="false" ht="15.75" hidden="false" customHeight="false" outlineLevel="0" collapsed="false">
      <c r="B778" s="8"/>
    </row>
    <row r="779" customFormat="false" ht="15.75" hidden="false" customHeight="false" outlineLevel="0" collapsed="false">
      <c r="B779" s="8"/>
    </row>
    <row r="780" customFormat="false" ht="15.75" hidden="false" customHeight="false" outlineLevel="0" collapsed="false">
      <c r="B780" s="8"/>
    </row>
    <row r="781" customFormat="false" ht="15.75" hidden="false" customHeight="false" outlineLevel="0" collapsed="false">
      <c r="B781" s="8"/>
    </row>
    <row r="782" customFormat="false" ht="15.75" hidden="false" customHeight="false" outlineLevel="0" collapsed="false">
      <c r="B782" s="8"/>
    </row>
    <row r="783" customFormat="false" ht="15.75" hidden="false" customHeight="false" outlineLevel="0" collapsed="false">
      <c r="B783" s="8"/>
    </row>
    <row r="784" customFormat="false" ht="15.75" hidden="false" customHeight="false" outlineLevel="0" collapsed="false">
      <c r="B784" s="8"/>
    </row>
    <row r="785" customFormat="false" ht="15.75" hidden="false" customHeight="false" outlineLevel="0" collapsed="false">
      <c r="B785" s="8"/>
    </row>
    <row r="786" customFormat="false" ht="15.75" hidden="false" customHeight="false" outlineLevel="0" collapsed="false">
      <c r="B786" s="8"/>
    </row>
    <row r="787" customFormat="false" ht="15.75" hidden="false" customHeight="false" outlineLevel="0" collapsed="false">
      <c r="B787" s="8"/>
    </row>
    <row r="788" customFormat="false" ht="15.75" hidden="false" customHeight="false" outlineLevel="0" collapsed="false">
      <c r="B788" s="8"/>
    </row>
    <row r="789" customFormat="false" ht="15.75" hidden="false" customHeight="false" outlineLevel="0" collapsed="false">
      <c r="B789" s="8"/>
    </row>
    <row r="790" customFormat="false" ht="15.75" hidden="false" customHeight="false" outlineLevel="0" collapsed="false">
      <c r="B790" s="8"/>
    </row>
    <row r="791" customFormat="false" ht="15.75" hidden="false" customHeight="false" outlineLevel="0" collapsed="false">
      <c r="B791" s="8"/>
    </row>
    <row r="792" customFormat="false" ht="15.75" hidden="false" customHeight="false" outlineLevel="0" collapsed="false">
      <c r="B792" s="8"/>
    </row>
    <row r="793" customFormat="false" ht="15.75" hidden="false" customHeight="false" outlineLevel="0" collapsed="false">
      <c r="B793" s="8"/>
    </row>
    <row r="794" customFormat="false" ht="15.75" hidden="false" customHeight="false" outlineLevel="0" collapsed="false">
      <c r="B794" s="8"/>
    </row>
    <row r="795" customFormat="false" ht="15.75" hidden="false" customHeight="false" outlineLevel="0" collapsed="false">
      <c r="B795" s="8"/>
    </row>
    <row r="796" customFormat="false" ht="15.75" hidden="false" customHeight="false" outlineLevel="0" collapsed="false">
      <c r="B796" s="8"/>
    </row>
    <row r="797" customFormat="false" ht="15.75" hidden="false" customHeight="false" outlineLevel="0" collapsed="false">
      <c r="B797" s="8"/>
    </row>
    <row r="798" customFormat="false" ht="15.75" hidden="false" customHeight="false" outlineLevel="0" collapsed="false">
      <c r="B798" s="8"/>
    </row>
    <row r="799" customFormat="false" ht="15.75" hidden="false" customHeight="false" outlineLevel="0" collapsed="false">
      <c r="B799" s="8"/>
    </row>
    <row r="800" customFormat="false" ht="15.75" hidden="false" customHeight="false" outlineLevel="0" collapsed="false">
      <c r="B800" s="8"/>
    </row>
    <row r="801" customFormat="false" ht="15.75" hidden="false" customHeight="false" outlineLevel="0" collapsed="false">
      <c r="B801" s="8"/>
    </row>
    <row r="802" customFormat="false" ht="15.75" hidden="false" customHeight="false" outlineLevel="0" collapsed="false">
      <c r="B802" s="8"/>
    </row>
    <row r="803" customFormat="false" ht="15.75" hidden="false" customHeight="false" outlineLevel="0" collapsed="false">
      <c r="B803" s="8"/>
    </row>
    <row r="804" customFormat="false" ht="15.75" hidden="false" customHeight="false" outlineLevel="0" collapsed="false">
      <c r="B804" s="8"/>
    </row>
    <row r="805" customFormat="false" ht="15.75" hidden="false" customHeight="false" outlineLevel="0" collapsed="false">
      <c r="B805" s="8"/>
    </row>
    <row r="806" customFormat="false" ht="15.75" hidden="false" customHeight="false" outlineLevel="0" collapsed="false">
      <c r="B806" s="8"/>
    </row>
    <row r="807" customFormat="false" ht="15.75" hidden="false" customHeight="false" outlineLevel="0" collapsed="false">
      <c r="B807" s="8"/>
    </row>
    <row r="808" customFormat="false" ht="15.75" hidden="false" customHeight="false" outlineLevel="0" collapsed="false">
      <c r="B808" s="8"/>
    </row>
    <row r="809" customFormat="false" ht="15.75" hidden="false" customHeight="false" outlineLevel="0" collapsed="false">
      <c r="B809" s="8"/>
    </row>
    <row r="810" customFormat="false" ht="15.75" hidden="false" customHeight="false" outlineLevel="0" collapsed="false">
      <c r="B810" s="8"/>
    </row>
    <row r="811" customFormat="false" ht="15.75" hidden="false" customHeight="false" outlineLevel="0" collapsed="false">
      <c r="B811" s="8"/>
    </row>
    <row r="812" customFormat="false" ht="15.75" hidden="false" customHeight="false" outlineLevel="0" collapsed="false">
      <c r="B812" s="8"/>
    </row>
    <row r="813" customFormat="false" ht="15.75" hidden="false" customHeight="false" outlineLevel="0" collapsed="false">
      <c r="B813" s="8"/>
    </row>
    <row r="814" customFormat="false" ht="15.75" hidden="false" customHeight="false" outlineLevel="0" collapsed="false">
      <c r="B814" s="8"/>
    </row>
    <row r="815" customFormat="false" ht="15.75" hidden="false" customHeight="false" outlineLevel="0" collapsed="false">
      <c r="B815" s="8"/>
    </row>
    <row r="816" customFormat="false" ht="15.75" hidden="false" customHeight="false" outlineLevel="0" collapsed="false">
      <c r="B816" s="8"/>
    </row>
    <row r="817" customFormat="false" ht="15.75" hidden="false" customHeight="false" outlineLevel="0" collapsed="false">
      <c r="B817" s="8"/>
    </row>
    <row r="818" customFormat="false" ht="15.75" hidden="false" customHeight="false" outlineLevel="0" collapsed="false">
      <c r="B818" s="8"/>
    </row>
    <row r="819" customFormat="false" ht="15.75" hidden="false" customHeight="false" outlineLevel="0" collapsed="false">
      <c r="B819" s="8"/>
    </row>
    <row r="820" customFormat="false" ht="15.75" hidden="false" customHeight="false" outlineLevel="0" collapsed="false">
      <c r="B820" s="8"/>
    </row>
    <row r="821" customFormat="false" ht="15.75" hidden="false" customHeight="false" outlineLevel="0" collapsed="false">
      <c r="B821" s="8"/>
    </row>
    <row r="822" customFormat="false" ht="15.75" hidden="false" customHeight="false" outlineLevel="0" collapsed="false">
      <c r="B822" s="8"/>
    </row>
    <row r="823" customFormat="false" ht="15.75" hidden="false" customHeight="false" outlineLevel="0" collapsed="false">
      <c r="B823" s="8"/>
    </row>
    <row r="824" customFormat="false" ht="15.75" hidden="false" customHeight="false" outlineLevel="0" collapsed="false">
      <c r="B824" s="8"/>
    </row>
    <row r="825" customFormat="false" ht="15.75" hidden="false" customHeight="false" outlineLevel="0" collapsed="false">
      <c r="B825" s="8"/>
    </row>
    <row r="826" customFormat="false" ht="15.75" hidden="false" customHeight="false" outlineLevel="0" collapsed="false">
      <c r="B826" s="8"/>
    </row>
    <row r="827" customFormat="false" ht="15.75" hidden="false" customHeight="false" outlineLevel="0" collapsed="false">
      <c r="B827" s="8"/>
    </row>
    <row r="828" customFormat="false" ht="15.75" hidden="false" customHeight="false" outlineLevel="0" collapsed="false">
      <c r="B828" s="8"/>
    </row>
    <row r="829" customFormat="false" ht="15.75" hidden="false" customHeight="false" outlineLevel="0" collapsed="false">
      <c r="B829" s="8"/>
    </row>
    <row r="830" customFormat="false" ht="15.75" hidden="false" customHeight="false" outlineLevel="0" collapsed="false">
      <c r="B830" s="8"/>
    </row>
    <row r="831" customFormat="false" ht="15.75" hidden="false" customHeight="false" outlineLevel="0" collapsed="false">
      <c r="B831" s="8"/>
    </row>
    <row r="832" customFormat="false" ht="15.75" hidden="false" customHeight="false" outlineLevel="0" collapsed="false">
      <c r="B832" s="8"/>
    </row>
    <row r="833" customFormat="false" ht="15.75" hidden="false" customHeight="false" outlineLevel="0" collapsed="false">
      <c r="B833" s="8"/>
    </row>
    <row r="834" customFormat="false" ht="15.75" hidden="false" customHeight="false" outlineLevel="0" collapsed="false">
      <c r="B834" s="8"/>
    </row>
    <row r="835" customFormat="false" ht="15.75" hidden="false" customHeight="false" outlineLevel="0" collapsed="false">
      <c r="B835" s="8"/>
    </row>
    <row r="836" customFormat="false" ht="15.75" hidden="false" customHeight="false" outlineLevel="0" collapsed="false">
      <c r="B836" s="8"/>
    </row>
    <row r="837" customFormat="false" ht="15.75" hidden="false" customHeight="false" outlineLevel="0" collapsed="false">
      <c r="B837" s="8"/>
    </row>
    <row r="838" customFormat="false" ht="15.75" hidden="false" customHeight="false" outlineLevel="0" collapsed="false">
      <c r="B838" s="8"/>
    </row>
    <row r="839" customFormat="false" ht="15.75" hidden="false" customHeight="false" outlineLevel="0" collapsed="false">
      <c r="B839" s="8"/>
    </row>
    <row r="840" customFormat="false" ht="15.75" hidden="false" customHeight="false" outlineLevel="0" collapsed="false">
      <c r="B840" s="8"/>
    </row>
    <row r="841" customFormat="false" ht="15.75" hidden="false" customHeight="false" outlineLevel="0" collapsed="false">
      <c r="B841" s="8"/>
    </row>
    <row r="842" customFormat="false" ht="15.75" hidden="false" customHeight="false" outlineLevel="0" collapsed="false">
      <c r="B842" s="8"/>
    </row>
    <row r="843" customFormat="false" ht="15.75" hidden="false" customHeight="false" outlineLevel="0" collapsed="false">
      <c r="B843" s="8"/>
    </row>
    <row r="844" customFormat="false" ht="15.75" hidden="false" customHeight="false" outlineLevel="0" collapsed="false">
      <c r="B844" s="8"/>
    </row>
    <row r="845" customFormat="false" ht="15.75" hidden="false" customHeight="false" outlineLevel="0" collapsed="false">
      <c r="B845" s="8"/>
    </row>
    <row r="846" customFormat="false" ht="15.75" hidden="false" customHeight="false" outlineLevel="0" collapsed="false">
      <c r="B846" s="8"/>
    </row>
    <row r="847" customFormat="false" ht="15.75" hidden="false" customHeight="false" outlineLevel="0" collapsed="false">
      <c r="B847" s="8"/>
    </row>
    <row r="848" customFormat="false" ht="15.75" hidden="false" customHeight="false" outlineLevel="0" collapsed="false">
      <c r="B848" s="8"/>
    </row>
    <row r="849" customFormat="false" ht="15.75" hidden="false" customHeight="false" outlineLevel="0" collapsed="false">
      <c r="B849" s="8"/>
    </row>
    <row r="850" customFormat="false" ht="15.75" hidden="false" customHeight="false" outlineLevel="0" collapsed="false">
      <c r="B850" s="8"/>
    </row>
    <row r="851" customFormat="false" ht="15.75" hidden="false" customHeight="false" outlineLevel="0" collapsed="false">
      <c r="B851" s="8"/>
    </row>
    <row r="852" customFormat="false" ht="15.75" hidden="false" customHeight="false" outlineLevel="0" collapsed="false">
      <c r="B852" s="8"/>
    </row>
    <row r="853" customFormat="false" ht="15.75" hidden="false" customHeight="false" outlineLevel="0" collapsed="false">
      <c r="B853" s="8"/>
    </row>
    <row r="854" customFormat="false" ht="15.75" hidden="false" customHeight="false" outlineLevel="0" collapsed="false">
      <c r="B854" s="8"/>
    </row>
    <row r="855" customFormat="false" ht="15.75" hidden="false" customHeight="false" outlineLevel="0" collapsed="false">
      <c r="B855" s="8"/>
    </row>
    <row r="856" customFormat="false" ht="15.75" hidden="false" customHeight="false" outlineLevel="0" collapsed="false">
      <c r="B856" s="8"/>
    </row>
    <row r="857" customFormat="false" ht="15.75" hidden="false" customHeight="false" outlineLevel="0" collapsed="false">
      <c r="B857" s="8"/>
    </row>
    <row r="858" customFormat="false" ht="15.75" hidden="false" customHeight="false" outlineLevel="0" collapsed="false">
      <c r="B858" s="8"/>
    </row>
    <row r="859" customFormat="false" ht="15.75" hidden="false" customHeight="false" outlineLevel="0" collapsed="false">
      <c r="B859" s="8"/>
    </row>
    <row r="860" customFormat="false" ht="15.75" hidden="false" customHeight="false" outlineLevel="0" collapsed="false">
      <c r="B860" s="8"/>
    </row>
    <row r="861" customFormat="false" ht="15.75" hidden="false" customHeight="false" outlineLevel="0" collapsed="false">
      <c r="B861" s="8"/>
    </row>
    <row r="862" customFormat="false" ht="15.75" hidden="false" customHeight="false" outlineLevel="0" collapsed="false">
      <c r="B862" s="8"/>
    </row>
    <row r="863" customFormat="false" ht="15.75" hidden="false" customHeight="false" outlineLevel="0" collapsed="false">
      <c r="B863" s="8"/>
    </row>
    <row r="864" customFormat="false" ht="15.75" hidden="false" customHeight="false" outlineLevel="0" collapsed="false">
      <c r="B864" s="8"/>
    </row>
    <row r="865" customFormat="false" ht="15.75" hidden="false" customHeight="false" outlineLevel="0" collapsed="false">
      <c r="B865" s="8"/>
    </row>
    <row r="866" customFormat="false" ht="15.75" hidden="false" customHeight="false" outlineLevel="0" collapsed="false">
      <c r="B866" s="8"/>
    </row>
    <row r="867" customFormat="false" ht="15.75" hidden="false" customHeight="false" outlineLevel="0" collapsed="false">
      <c r="B867" s="8"/>
    </row>
    <row r="868" customFormat="false" ht="15.75" hidden="false" customHeight="false" outlineLevel="0" collapsed="false">
      <c r="B868" s="8"/>
    </row>
    <row r="869" customFormat="false" ht="15.75" hidden="false" customHeight="false" outlineLevel="0" collapsed="false">
      <c r="B869" s="8"/>
    </row>
    <row r="870" customFormat="false" ht="15.75" hidden="false" customHeight="false" outlineLevel="0" collapsed="false">
      <c r="B870" s="8"/>
    </row>
    <row r="871" customFormat="false" ht="15.75" hidden="false" customHeight="false" outlineLevel="0" collapsed="false">
      <c r="B871" s="8"/>
    </row>
    <row r="872" customFormat="false" ht="15.75" hidden="false" customHeight="false" outlineLevel="0" collapsed="false">
      <c r="B872" s="8"/>
    </row>
    <row r="873" customFormat="false" ht="15.75" hidden="false" customHeight="false" outlineLevel="0" collapsed="false">
      <c r="B873" s="8"/>
    </row>
    <row r="874" customFormat="false" ht="15.75" hidden="false" customHeight="false" outlineLevel="0" collapsed="false">
      <c r="B874" s="8"/>
    </row>
    <row r="875" customFormat="false" ht="15.75" hidden="false" customHeight="false" outlineLevel="0" collapsed="false">
      <c r="B875" s="8"/>
    </row>
    <row r="876" customFormat="false" ht="15.75" hidden="false" customHeight="false" outlineLevel="0" collapsed="false">
      <c r="B876" s="8"/>
    </row>
    <row r="877" customFormat="false" ht="15.75" hidden="false" customHeight="false" outlineLevel="0" collapsed="false">
      <c r="B877" s="8"/>
    </row>
    <row r="878" customFormat="false" ht="15.75" hidden="false" customHeight="false" outlineLevel="0" collapsed="false">
      <c r="B878" s="8"/>
    </row>
    <row r="879" customFormat="false" ht="15.75" hidden="false" customHeight="false" outlineLevel="0" collapsed="false">
      <c r="B879" s="8"/>
    </row>
    <row r="880" customFormat="false" ht="15.75" hidden="false" customHeight="false" outlineLevel="0" collapsed="false">
      <c r="B880" s="8"/>
    </row>
    <row r="881" customFormat="false" ht="15.75" hidden="false" customHeight="false" outlineLevel="0" collapsed="false">
      <c r="B881" s="8"/>
    </row>
    <row r="882" customFormat="false" ht="15.75" hidden="false" customHeight="false" outlineLevel="0" collapsed="false">
      <c r="B882" s="8"/>
    </row>
    <row r="883" customFormat="false" ht="15.75" hidden="false" customHeight="false" outlineLevel="0" collapsed="false">
      <c r="B883" s="8"/>
    </row>
    <row r="884" customFormat="false" ht="15.75" hidden="false" customHeight="false" outlineLevel="0" collapsed="false">
      <c r="B884" s="8"/>
    </row>
    <row r="885" customFormat="false" ht="15.75" hidden="false" customHeight="false" outlineLevel="0" collapsed="false">
      <c r="B885" s="8"/>
    </row>
    <row r="886" customFormat="false" ht="15.75" hidden="false" customHeight="false" outlineLevel="0" collapsed="false">
      <c r="B886" s="8"/>
    </row>
    <row r="887" customFormat="false" ht="15.75" hidden="false" customHeight="false" outlineLevel="0" collapsed="false">
      <c r="B887" s="8"/>
    </row>
    <row r="888" customFormat="false" ht="15.75" hidden="false" customHeight="false" outlineLevel="0" collapsed="false">
      <c r="B888" s="8"/>
    </row>
    <row r="889" customFormat="false" ht="15.75" hidden="false" customHeight="false" outlineLevel="0" collapsed="false">
      <c r="B889" s="8"/>
    </row>
    <row r="890" customFormat="false" ht="15.75" hidden="false" customHeight="false" outlineLevel="0" collapsed="false">
      <c r="B890" s="8"/>
    </row>
    <row r="891" customFormat="false" ht="15.75" hidden="false" customHeight="false" outlineLevel="0" collapsed="false">
      <c r="B891" s="8"/>
    </row>
    <row r="892" customFormat="false" ht="15.75" hidden="false" customHeight="false" outlineLevel="0" collapsed="false">
      <c r="B892" s="8"/>
    </row>
    <row r="893" customFormat="false" ht="15.75" hidden="false" customHeight="false" outlineLevel="0" collapsed="false">
      <c r="B893" s="8"/>
    </row>
    <row r="894" customFormat="false" ht="15.75" hidden="false" customHeight="false" outlineLevel="0" collapsed="false">
      <c r="B894" s="8"/>
    </row>
    <row r="895" customFormat="false" ht="15.75" hidden="false" customHeight="false" outlineLevel="0" collapsed="false">
      <c r="B895" s="8"/>
    </row>
    <row r="896" customFormat="false" ht="15.75" hidden="false" customHeight="false" outlineLevel="0" collapsed="false">
      <c r="B896" s="8"/>
    </row>
    <row r="897" customFormat="false" ht="15.75" hidden="false" customHeight="false" outlineLevel="0" collapsed="false">
      <c r="B897" s="8"/>
    </row>
    <row r="898" customFormat="false" ht="15.75" hidden="false" customHeight="false" outlineLevel="0" collapsed="false">
      <c r="B898" s="8"/>
    </row>
    <row r="899" customFormat="false" ht="15.75" hidden="false" customHeight="false" outlineLevel="0" collapsed="false">
      <c r="B899" s="8"/>
    </row>
    <row r="900" customFormat="false" ht="15.75" hidden="false" customHeight="false" outlineLevel="0" collapsed="false">
      <c r="B900" s="8"/>
    </row>
    <row r="901" customFormat="false" ht="15.75" hidden="false" customHeight="false" outlineLevel="0" collapsed="false">
      <c r="B901" s="8"/>
    </row>
    <row r="902" customFormat="false" ht="15.75" hidden="false" customHeight="false" outlineLevel="0" collapsed="false">
      <c r="B902" s="8"/>
    </row>
    <row r="903" customFormat="false" ht="15.75" hidden="false" customHeight="false" outlineLevel="0" collapsed="false">
      <c r="B903" s="8"/>
    </row>
    <row r="904" customFormat="false" ht="15.75" hidden="false" customHeight="false" outlineLevel="0" collapsed="false">
      <c r="B904" s="8"/>
    </row>
    <row r="905" customFormat="false" ht="15.75" hidden="false" customHeight="false" outlineLevel="0" collapsed="false">
      <c r="B905" s="8"/>
    </row>
    <row r="906" customFormat="false" ht="15.75" hidden="false" customHeight="false" outlineLevel="0" collapsed="false">
      <c r="B906" s="8"/>
    </row>
    <row r="907" customFormat="false" ht="15.75" hidden="false" customHeight="false" outlineLevel="0" collapsed="false">
      <c r="B907" s="8"/>
    </row>
    <row r="908" customFormat="false" ht="15.75" hidden="false" customHeight="false" outlineLevel="0" collapsed="false">
      <c r="B908" s="8"/>
    </row>
    <row r="909" customFormat="false" ht="15.75" hidden="false" customHeight="false" outlineLevel="0" collapsed="false">
      <c r="B909" s="8"/>
    </row>
    <row r="910" customFormat="false" ht="15.75" hidden="false" customHeight="false" outlineLevel="0" collapsed="false">
      <c r="B910" s="8"/>
    </row>
    <row r="911" customFormat="false" ht="15.75" hidden="false" customHeight="false" outlineLevel="0" collapsed="false">
      <c r="B911" s="8"/>
    </row>
    <row r="912" customFormat="false" ht="15.75" hidden="false" customHeight="false" outlineLevel="0" collapsed="false">
      <c r="B912" s="8"/>
    </row>
    <row r="913" customFormat="false" ht="15.75" hidden="false" customHeight="false" outlineLevel="0" collapsed="false">
      <c r="B913" s="8"/>
    </row>
    <row r="914" customFormat="false" ht="15.75" hidden="false" customHeight="false" outlineLevel="0" collapsed="false">
      <c r="B914" s="8"/>
    </row>
    <row r="915" customFormat="false" ht="15.75" hidden="false" customHeight="false" outlineLevel="0" collapsed="false">
      <c r="B915" s="8"/>
    </row>
    <row r="916" customFormat="false" ht="15.75" hidden="false" customHeight="false" outlineLevel="0" collapsed="false">
      <c r="B916" s="8"/>
    </row>
    <row r="917" customFormat="false" ht="15.75" hidden="false" customHeight="false" outlineLevel="0" collapsed="false">
      <c r="B917" s="8"/>
    </row>
    <row r="918" customFormat="false" ht="15.75" hidden="false" customHeight="false" outlineLevel="0" collapsed="false">
      <c r="B918" s="8"/>
    </row>
    <row r="919" customFormat="false" ht="15.75" hidden="false" customHeight="false" outlineLevel="0" collapsed="false">
      <c r="B919" s="8"/>
    </row>
    <row r="920" customFormat="false" ht="15.75" hidden="false" customHeight="false" outlineLevel="0" collapsed="false">
      <c r="B920" s="8"/>
    </row>
    <row r="921" customFormat="false" ht="15.75" hidden="false" customHeight="false" outlineLevel="0" collapsed="false">
      <c r="B921" s="8"/>
    </row>
    <row r="922" customFormat="false" ht="15.75" hidden="false" customHeight="false" outlineLevel="0" collapsed="false">
      <c r="B922" s="8"/>
    </row>
    <row r="923" customFormat="false" ht="15.75" hidden="false" customHeight="false" outlineLevel="0" collapsed="false">
      <c r="B923" s="8"/>
    </row>
    <row r="924" customFormat="false" ht="15.75" hidden="false" customHeight="false" outlineLevel="0" collapsed="false">
      <c r="B924" s="8"/>
    </row>
    <row r="925" customFormat="false" ht="15.75" hidden="false" customHeight="false" outlineLevel="0" collapsed="false">
      <c r="B925" s="8"/>
    </row>
    <row r="926" customFormat="false" ht="15.75" hidden="false" customHeight="false" outlineLevel="0" collapsed="false">
      <c r="B926" s="8"/>
    </row>
    <row r="927" customFormat="false" ht="15.75" hidden="false" customHeight="false" outlineLevel="0" collapsed="false">
      <c r="B927" s="8"/>
    </row>
    <row r="928" customFormat="false" ht="15.75" hidden="false" customHeight="false" outlineLevel="0" collapsed="false">
      <c r="B928" s="8"/>
    </row>
    <row r="929" customFormat="false" ht="15.75" hidden="false" customHeight="false" outlineLevel="0" collapsed="false">
      <c r="B929" s="8"/>
    </row>
    <row r="930" customFormat="false" ht="15.75" hidden="false" customHeight="false" outlineLevel="0" collapsed="false">
      <c r="B930" s="8"/>
    </row>
    <row r="931" customFormat="false" ht="15.75" hidden="false" customHeight="false" outlineLevel="0" collapsed="false">
      <c r="B931" s="8"/>
    </row>
    <row r="932" customFormat="false" ht="15.75" hidden="false" customHeight="false" outlineLevel="0" collapsed="false">
      <c r="B932" s="8"/>
    </row>
    <row r="933" customFormat="false" ht="15.75" hidden="false" customHeight="false" outlineLevel="0" collapsed="false">
      <c r="B933" s="8"/>
    </row>
    <row r="934" customFormat="false" ht="15.75" hidden="false" customHeight="false" outlineLevel="0" collapsed="false">
      <c r="B934" s="8"/>
    </row>
    <row r="935" customFormat="false" ht="15.75" hidden="false" customHeight="false" outlineLevel="0" collapsed="false">
      <c r="B935" s="8"/>
    </row>
    <row r="936" customFormat="false" ht="15.75" hidden="false" customHeight="false" outlineLevel="0" collapsed="false">
      <c r="B936" s="8"/>
    </row>
    <row r="937" customFormat="false" ht="15.75" hidden="false" customHeight="false" outlineLevel="0" collapsed="false">
      <c r="B937" s="8"/>
    </row>
    <row r="938" customFormat="false" ht="15.75" hidden="false" customHeight="false" outlineLevel="0" collapsed="false">
      <c r="B938" s="8"/>
    </row>
    <row r="939" customFormat="false" ht="15.75" hidden="false" customHeight="false" outlineLevel="0" collapsed="false">
      <c r="B939" s="8"/>
    </row>
    <row r="940" customFormat="false" ht="15.75" hidden="false" customHeight="false" outlineLevel="0" collapsed="false">
      <c r="B940" s="8"/>
    </row>
    <row r="941" customFormat="false" ht="15.75" hidden="false" customHeight="false" outlineLevel="0" collapsed="false">
      <c r="B941" s="8"/>
    </row>
    <row r="942" customFormat="false" ht="15.75" hidden="false" customHeight="false" outlineLevel="0" collapsed="false">
      <c r="B942" s="8"/>
    </row>
    <row r="943" customFormat="false" ht="15.75" hidden="false" customHeight="false" outlineLevel="0" collapsed="false">
      <c r="B943" s="8"/>
    </row>
    <row r="944" customFormat="false" ht="15.75" hidden="false" customHeight="false" outlineLevel="0" collapsed="false">
      <c r="B944" s="8"/>
    </row>
    <row r="945" customFormat="false" ht="15.75" hidden="false" customHeight="false" outlineLevel="0" collapsed="false">
      <c r="B945" s="8"/>
    </row>
    <row r="946" customFormat="false" ht="15.75" hidden="false" customHeight="false" outlineLevel="0" collapsed="false">
      <c r="B946" s="8"/>
    </row>
    <row r="947" customFormat="false" ht="15.75" hidden="false" customHeight="false" outlineLevel="0" collapsed="false">
      <c r="B947" s="8"/>
    </row>
    <row r="948" customFormat="false" ht="15.75" hidden="false" customHeight="false" outlineLevel="0" collapsed="false">
      <c r="B948" s="8"/>
    </row>
    <row r="949" customFormat="false" ht="15.75" hidden="false" customHeight="false" outlineLevel="0" collapsed="false">
      <c r="B949" s="8"/>
    </row>
    <row r="950" customFormat="false" ht="15.75" hidden="false" customHeight="false" outlineLevel="0" collapsed="false">
      <c r="B950" s="8"/>
    </row>
    <row r="951" customFormat="false" ht="15.75" hidden="false" customHeight="false" outlineLevel="0" collapsed="false">
      <c r="B951" s="8"/>
    </row>
    <row r="952" customFormat="false" ht="15.75" hidden="false" customHeight="false" outlineLevel="0" collapsed="false">
      <c r="B952" s="8"/>
    </row>
    <row r="953" customFormat="false" ht="15.75" hidden="false" customHeight="false" outlineLevel="0" collapsed="false">
      <c r="B953" s="8"/>
    </row>
    <row r="954" customFormat="false" ht="15.75" hidden="false" customHeight="false" outlineLevel="0" collapsed="false">
      <c r="B954" s="8"/>
    </row>
    <row r="955" customFormat="false" ht="15.75" hidden="false" customHeight="false" outlineLevel="0" collapsed="false">
      <c r="B955" s="8"/>
    </row>
    <row r="956" customFormat="false" ht="15.75" hidden="false" customHeight="false" outlineLevel="0" collapsed="false">
      <c r="B956" s="8"/>
    </row>
    <row r="957" customFormat="false" ht="15.75" hidden="false" customHeight="false" outlineLevel="0" collapsed="false">
      <c r="B957" s="8"/>
    </row>
    <row r="958" customFormat="false" ht="15.75" hidden="false" customHeight="false" outlineLevel="0" collapsed="false">
      <c r="B958" s="8"/>
    </row>
    <row r="959" customFormat="false" ht="15.75" hidden="false" customHeight="false" outlineLevel="0" collapsed="false">
      <c r="B959" s="8"/>
    </row>
    <row r="960" customFormat="false" ht="15.75" hidden="false" customHeight="false" outlineLevel="0" collapsed="false">
      <c r="B960" s="8"/>
    </row>
    <row r="961" customFormat="false" ht="15.75" hidden="false" customHeight="false" outlineLevel="0" collapsed="false">
      <c r="B961" s="8"/>
    </row>
    <row r="962" customFormat="false" ht="15.75" hidden="false" customHeight="false" outlineLevel="0" collapsed="false">
      <c r="B962" s="8"/>
    </row>
    <row r="963" customFormat="false" ht="15.75" hidden="false" customHeight="false" outlineLevel="0" collapsed="false">
      <c r="B963" s="8"/>
    </row>
    <row r="964" customFormat="false" ht="15.75" hidden="false" customHeight="false" outlineLevel="0" collapsed="false">
      <c r="B964" s="8"/>
    </row>
    <row r="965" customFormat="false" ht="15.75" hidden="false" customHeight="false" outlineLevel="0" collapsed="false">
      <c r="B965" s="8"/>
    </row>
    <row r="966" customFormat="false" ht="15.75" hidden="false" customHeight="false" outlineLevel="0" collapsed="false">
      <c r="B966" s="8"/>
    </row>
    <row r="967" customFormat="false" ht="15.75" hidden="false" customHeight="false" outlineLevel="0" collapsed="false">
      <c r="B967" s="8"/>
    </row>
    <row r="968" customFormat="false" ht="15.75" hidden="false" customHeight="false" outlineLevel="0" collapsed="false">
      <c r="B968" s="8"/>
    </row>
    <row r="969" customFormat="false" ht="15.75" hidden="false" customHeight="false" outlineLevel="0" collapsed="false">
      <c r="B969" s="8"/>
    </row>
    <row r="970" customFormat="false" ht="15.75" hidden="false" customHeight="false" outlineLevel="0" collapsed="false">
      <c r="B970" s="8"/>
    </row>
    <row r="971" customFormat="false" ht="15.75" hidden="false" customHeight="false" outlineLevel="0" collapsed="false">
      <c r="B971" s="8"/>
    </row>
    <row r="972" customFormat="false" ht="15.75" hidden="false" customHeight="false" outlineLevel="0" collapsed="false">
      <c r="B972" s="8"/>
    </row>
    <row r="973" customFormat="false" ht="15.75" hidden="false" customHeight="false" outlineLevel="0" collapsed="false">
      <c r="B973" s="8"/>
    </row>
    <row r="974" customFormat="false" ht="15.75" hidden="false" customHeight="false" outlineLevel="0" collapsed="false">
      <c r="B974" s="8"/>
    </row>
    <row r="975" customFormat="false" ht="15.75" hidden="false" customHeight="false" outlineLevel="0" collapsed="false">
      <c r="B975" s="8"/>
    </row>
    <row r="976" customFormat="false" ht="15.75" hidden="false" customHeight="false" outlineLevel="0" collapsed="false">
      <c r="B976" s="8"/>
    </row>
    <row r="977" customFormat="false" ht="15.75" hidden="false" customHeight="false" outlineLevel="0" collapsed="false">
      <c r="B977" s="8"/>
    </row>
    <row r="978" customFormat="false" ht="15.75" hidden="false" customHeight="false" outlineLevel="0" collapsed="false">
      <c r="B978" s="8"/>
    </row>
    <row r="979" customFormat="false" ht="15.75" hidden="false" customHeight="false" outlineLevel="0" collapsed="false">
      <c r="B979" s="8"/>
    </row>
    <row r="980" customFormat="false" ht="15.75" hidden="false" customHeight="false" outlineLevel="0" collapsed="false">
      <c r="B980" s="8"/>
    </row>
    <row r="981" customFormat="false" ht="15.75" hidden="false" customHeight="false" outlineLevel="0" collapsed="false">
      <c r="B981" s="8"/>
    </row>
    <row r="982" customFormat="false" ht="15.75" hidden="false" customHeight="false" outlineLevel="0" collapsed="false">
      <c r="B982" s="8"/>
    </row>
    <row r="983" customFormat="false" ht="15.75" hidden="false" customHeight="false" outlineLevel="0" collapsed="false">
      <c r="B983" s="8"/>
    </row>
    <row r="984" customFormat="false" ht="15.75" hidden="false" customHeight="false" outlineLevel="0" collapsed="false">
      <c r="B984" s="8"/>
    </row>
    <row r="985" customFormat="false" ht="15.75" hidden="false" customHeight="false" outlineLevel="0" collapsed="false">
      <c r="B985" s="8"/>
    </row>
    <row r="986" customFormat="false" ht="15.75" hidden="false" customHeight="false" outlineLevel="0" collapsed="false">
      <c r="B986" s="8"/>
    </row>
    <row r="987" customFormat="false" ht="15.75" hidden="false" customHeight="false" outlineLevel="0" collapsed="false">
      <c r="B987" s="8"/>
    </row>
    <row r="988" customFormat="false" ht="15.75" hidden="false" customHeight="false" outlineLevel="0" collapsed="false">
      <c r="B988" s="8"/>
    </row>
    <row r="989" customFormat="false" ht="15.75" hidden="false" customHeight="false" outlineLevel="0" collapsed="false">
      <c r="B989" s="8"/>
    </row>
    <row r="990" customFormat="false" ht="15.75" hidden="false" customHeight="false" outlineLevel="0" collapsed="false">
      <c r="B990" s="8"/>
    </row>
    <row r="991" customFormat="false" ht="15.75" hidden="false" customHeight="false" outlineLevel="0" collapsed="false">
      <c r="B991" s="8"/>
    </row>
    <row r="992" customFormat="false" ht="15.75" hidden="false" customHeight="false" outlineLevel="0" collapsed="false">
      <c r="B992" s="8"/>
    </row>
    <row r="993" customFormat="false" ht="15.75" hidden="false" customHeight="false" outlineLevel="0" collapsed="false">
      <c r="B993" s="8"/>
    </row>
    <row r="994" customFormat="false" ht="15.75" hidden="false" customHeight="false" outlineLevel="0" collapsed="false">
      <c r="B994" s="8"/>
    </row>
    <row r="995" customFormat="false" ht="15.75" hidden="false" customHeight="false" outlineLevel="0" collapsed="false">
      <c r="B995" s="8"/>
    </row>
    <row r="996" customFormat="false" ht="15.75" hidden="false" customHeight="false" outlineLevel="0" collapsed="false">
      <c r="B996" s="8"/>
    </row>
    <row r="997" customFormat="false" ht="15.75" hidden="false" customHeight="false" outlineLevel="0" collapsed="false">
      <c r="B997" s="8"/>
    </row>
    <row r="998" customFormat="false" ht="15.75" hidden="false" customHeight="false" outlineLevel="0" collapsed="false">
      <c r="B998" s="8"/>
    </row>
    <row r="999" customFormat="false" ht="15.75" hidden="false" customHeight="false" outlineLevel="0" collapsed="false">
      <c r="B999" s="8"/>
    </row>
    <row r="1000" customFormat="false" ht="15.75" hidden="false" customHeight="false" outlineLevel="0" collapsed="false">
      <c r="B1000" s="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766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2026-05-15T14:41:13Z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